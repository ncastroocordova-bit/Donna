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📖 Léeme" sheetId="1" state="visible" r:id="rId1"/>
    <sheet name="Diario" sheetId="2" state="visible" r:id="rId2"/>
    <sheet name="Tareas" sheetId="3" state="visible" r:id="rId3"/>
    <sheet name="Proyectos" sheetId="4" state="visible" r:id="rId4"/>
    <sheet name="Recordatorios" sheetId="5" state="visible" r:id="rId5"/>
    <sheet name="Reconciliacion" sheetId="6" state="visible" r:id="rId6"/>
    <sheet name="Semanal" sheetId="7" state="visible" r:id="rId7"/>
    <sheet name="⚙️ Config" sheetId="8" state="visible" r:id="rId8"/>
    <sheet name="Transacciones" sheetId="9" state="visible" r:id="rId9"/>
    <sheet name="Categorias" sheetId="10" state="visible" r:id="rId10"/>
    <sheet name="Metas" sheetId="11" state="visible" r:id="rId11"/>
    <sheet name="Compras_Detalle" sheetId="12" state="visible" r:id="rId12"/>
    <sheet name="Tarjetas y Deuda" sheetId="13" state="visible" r:id="rId13"/>
    <sheet name="Dashboard" sheetId="14" state="visible" r:id="rId14"/>
    <sheet name="Comparativo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\$#,##0;&quot;($&quot;#,##0\);\-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theme="1"/>
      <sz val="10"/>
    </font>
    <font>
      <name val="Arial"/>
      <charset val="1"/>
      <family val="0"/>
      <i val="1"/>
      <color rgb="FF78909C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62828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78909C"/>
      <sz val="10"/>
    </font>
  </fonts>
  <fills count="7">
    <fill>
      <patternFill/>
    </fill>
    <fill>
      <patternFill patternType="gray125"/>
    </fill>
    <fill>
      <patternFill patternType="solid">
        <fgColor rgb="FF37474F"/>
        <bgColor rgb="FF333399"/>
      </patternFill>
    </fill>
    <fill>
      <patternFill patternType="solid">
        <fgColor rgb="FF2E7D32"/>
        <bgColor rgb="FF008000"/>
      </patternFill>
    </fill>
    <fill>
      <patternFill patternType="solid">
        <fgColor rgb="FFFFF9C4"/>
        <bgColor rgb="FFFFFF99"/>
      </patternFill>
    </fill>
    <fill>
      <patternFill patternType="solid">
        <fgColor rgb="FF1565C0"/>
        <bgColor rgb="FF3366FF"/>
      </patternFill>
    </fill>
    <fill>
      <patternFill patternType="solid">
        <fgColor rgb="FFECEFF1"/>
        <bgColor rgb="FFFFFFFF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0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165" fontId="12" fillId="4" borderId="0" applyAlignment="1" pivotButton="0" quotePrefix="0" xfId="0">
      <alignment horizontal="general" vertical="bottom"/>
    </xf>
    <xf numFmtId="166" fontId="12" fillId="4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0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165" fontId="12" fillId="4" borderId="0" applyAlignment="1" pivotButton="0" quotePrefix="0" xfId="0">
      <alignment horizontal="general" vertical="bottom"/>
    </xf>
    <xf numFmtId="166" fontId="12" fillId="4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909C"/>
      <rgbColor rgb="FF9999FF"/>
      <rgbColor rgb="FF993366"/>
      <rgbColor rgb="FFFFF9C4"/>
      <rgbColor rgb="FFECEFF1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747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5" min="1" max="1"/>
    <col width="86" customWidth="1" style="35" min="2" max="2"/>
  </cols>
  <sheetData>
    <row r="1" ht="16.15" customHeight="1" s="36">
      <c r="A1" s="37" t="inlineStr">
        <is>
          <t>📗 DONNA — Planilla canónica (Vida + Finanzas unificadas)</t>
        </is>
      </c>
    </row>
    <row r="3" ht="15" customHeight="1" s="36">
      <c r="A3" s="38" t="n"/>
      <c r="B3" s="39" t="n"/>
    </row>
    <row r="4" ht="15" customHeight="1" s="36">
      <c r="A4" s="38" t="inlineStr">
        <is>
          <t>LA REGLA DE ORO</t>
        </is>
      </c>
      <c r="B4" s="39" t="inlineStr">
        <is>
          <t>Esta planilla NO se llena a mano. Donna escribe aquí; tú solo la miras.</t>
        </is>
      </c>
    </row>
    <row r="5" ht="15" customHeight="1" s="36">
      <c r="A5" s="38" t="inlineStr">
        <is>
          <t>Tu interfaz es Telegram</t>
        </is>
      </c>
      <c r="B5" s="39" t="inlineStr">
        <is>
          <t>Brief 8:00 (solo lectura) + Cierre 22:00 (toques). Revisión los domingos.</t>
        </is>
      </c>
    </row>
    <row r="6" ht="15" customHeight="1" s="36">
      <c r="A6" s="38" t="n"/>
      <c r="B6" s="39" t="n"/>
    </row>
    <row r="7" ht="15" customHeight="1" s="36">
      <c r="A7" s="40" t="inlineStr">
        <is>
          <t>HOJAS DE VIDA</t>
        </is>
      </c>
      <c r="B7" s="39" t="n"/>
    </row>
    <row r="8" ht="15" customHeight="1" s="36">
      <c r="A8" s="38" t="inlineStr">
        <is>
          <t>Diario</t>
        </is>
      </c>
      <c r="B8" s="39" t="inlineStr">
        <is>
          <t>1 fila/día: hábitos, ánimo (1-4), sueño, MITs. Nace vacía y crece con tu racha.</t>
        </is>
      </c>
    </row>
    <row r="9" ht="15" customHeight="1" s="36">
      <c r="A9" s="38" t="inlineStr">
        <is>
          <t>Tareas</t>
        </is>
      </c>
      <c r="B9" s="39" t="inlineStr">
        <is>
          <t>Tareas sueltas y MITs. Por chat: 'tarea: ...'.</t>
        </is>
      </c>
    </row>
    <row r="10" ht="15" customHeight="1" s="36">
      <c r="A10" s="38" t="inlineStr">
        <is>
          <t>Proyectos</t>
        </is>
      </c>
      <c r="B10" s="39" t="inlineStr">
        <is>
          <t>Tus 5 frentes. Esto SÍ lo editas tú (celdas amarillas).</t>
        </is>
      </c>
    </row>
    <row r="11" ht="15" customHeight="1" s="36">
      <c r="A11" s="38" t="inlineStr">
        <is>
          <t>Recordatorios</t>
        </is>
      </c>
      <c r="B11" s="39" t="inlineStr">
        <is>
          <t>Escalera: domingo + 2 días antes + el día + insiste si vence. Estado: pendiente/hecho/pospuesto.</t>
        </is>
      </c>
    </row>
    <row r="12" ht="15" customHeight="1" s="36">
      <c r="A12" s="38" t="inlineStr">
        <is>
          <t>Reconciliacion</t>
        </is>
      </c>
      <c r="B12" s="39" t="inlineStr">
        <is>
          <t>Plan vs. real: cada noche marcas qué hiciste y si tomó más/igual/menos. La escribe el bot con tus toques.</t>
        </is>
      </c>
    </row>
    <row r="13" ht="23.85" customHeight="1" s="36">
      <c r="A13" s="38" t="inlineStr">
        <is>
          <t>Semanal</t>
        </is>
      </c>
      <c r="B13" s="39" t="inlineStr">
        <is>
          <t>Resumen del domingo: rachas, ánimo, gasto y TIEMPO POR FRENTE + tu factor de optimismo. Solo lectura.</t>
        </is>
      </c>
    </row>
    <row r="14" ht="15" customHeight="1" s="36">
      <c r="A14" s="38" t="inlineStr">
        <is>
          <t>Ideas</t>
        </is>
      </c>
      <c r="B14" s="39" t="inlineStr">
        <is>
          <t>Captura por chat: 'idea: ...'. Se revisan el domingo.</t>
        </is>
      </c>
    </row>
    <row r="15" ht="15" customHeight="1" s="36">
      <c r="A15" s="38" t="inlineStr">
        <is>
          <t>⚙️ Config</t>
        </is>
      </c>
      <c r="B15" s="39" t="inlineStr">
        <is>
          <t>Horas, hábitos, módulos activos y tus frentes. Editable.</t>
        </is>
      </c>
    </row>
    <row r="16" ht="15" customHeight="1" s="36">
      <c r="A16" s="38" t="n"/>
      <c r="B16" s="39" t="n"/>
    </row>
    <row r="17" ht="15" customHeight="1" s="36">
      <c r="A17" s="40" t="inlineStr">
        <is>
          <t>HOJAS DE FINANZAS</t>
        </is>
      </c>
      <c r="B17" s="39" t="n"/>
    </row>
    <row r="18" ht="15" customHeight="1" s="36">
      <c r="A18" s="38" t="inlineStr">
        <is>
          <t>Transacciones</t>
        </is>
      </c>
      <c r="B18" s="39" t="inlineStr">
        <is>
          <t>Base de datos del dinero. El bot escribe aquí tras tu visto bueno en el digest.</t>
        </is>
      </c>
    </row>
    <row r="19" ht="15" customHeight="1" s="36">
      <c r="A19" s="38" t="inlineStr">
        <is>
          <t>Categorias</t>
        </is>
      </c>
      <c r="B19" s="39" t="inlineStr">
        <is>
          <t>Única fuente de presupuestos. Agrega categorías cuando quieras.</t>
        </is>
      </c>
    </row>
    <row r="20" ht="15" customHeight="1" s="36">
      <c r="A20" s="38" t="inlineStr">
        <is>
          <t>Tarjetas y Deuda</t>
        </is>
      </c>
      <c r="B20" s="39" t="inlineStr">
        <is>
          <t>El faro: tu DEUDA REAL incluye la línea de crédito. Intereses muertos = lo que pagas y no baja.</t>
        </is>
      </c>
    </row>
    <row r="21" ht="15" customHeight="1" s="36">
      <c r="A21" s="38" t="inlineStr">
        <is>
          <t>Dashboard</t>
        </is>
      </c>
      <c r="B21" s="39" t="inlineStr">
        <is>
          <t>De un vistazo: ingresos, gastos, balance, tasa de ahorro, gasto por categoría.</t>
        </is>
      </c>
    </row>
    <row r="22" ht="15" customHeight="1" s="36">
      <c r="A22" s="38" t="inlineStr">
        <is>
          <t>Comparativo</t>
        </is>
      </c>
      <c r="B22" s="39" t="inlineStr">
        <is>
          <t>Este mes vs. el anterior.</t>
        </is>
      </c>
    </row>
    <row r="23" ht="15" customHeight="1" s="36">
      <c r="A23" s="38" t="n"/>
      <c r="B23" s="39" t="n"/>
    </row>
    <row r="24" ht="15" customHeight="1" s="36">
      <c r="A24" s="40" t="inlineStr">
        <is>
          <t>CÓDIGO DE COLORES</t>
        </is>
      </c>
      <c r="B24" s="39" t="n"/>
    </row>
    <row r="25" ht="15" customHeight="1" s="36">
      <c r="A25" s="38" t="inlineStr">
        <is>
          <t>Amarillo</t>
        </is>
      </c>
      <c r="B25" s="39" t="inlineStr">
        <is>
          <t>Lo editas tú (Config, Proyectos, inputs de tarjetas).</t>
        </is>
      </c>
    </row>
    <row r="26" ht="15" customHeight="1" s="36">
      <c r="A26" s="38" t="inlineStr">
        <is>
          <t>Encabezado verde</t>
        </is>
      </c>
      <c r="B26" s="39" t="inlineStr">
        <is>
          <t>Hojas de vida. Encabezado azul: finanzas.</t>
        </is>
      </c>
    </row>
    <row r="27" ht="15" customHeight="1" s="36">
      <c r="A27" s="38" t="inlineStr">
        <is>
          <t>Todo lo demás</t>
        </is>
      </c>
      <c r="B27" s="39" t="inlineStr">
        <is>
          <t>Lo escribe o calcula el bot — no lo toques.</t>
        </is>
      </c>
    </row>
    <row r="28" ht="15" customHeight="1" s="36">
      <c r="A28" s="38" t="n"/>
      <c r="B28" s="39" t="n"/>
    </row>
    <row r="29" ht="23.85" customHeight="1" s="36">
      <c r="A29" s="38" t="inlineStr">
        <is>
          <t>NOTA DE MIGRACIÓN</t>
        </is>
      </c>
      <c r="B29" s="39" t="inlineStr">
        <is>
          <t>Recordatorios y proyectos vienen de Vida_v6 al nuevo esquema; verifica que estén tus 9 recordatorios. Las filas de Transacciones son ejemplos borrables.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11" customWidth="1" style="35" min="2" max="2"/>
    <col width="12" customWidth="1" style="35" min="3" max="3"/>
    <col width="14" customWidth="1" style="35" min="4" max="4"/>
    <col width="11" customWidth="1" style="35" min="5" max="5"/>
    <col width="12" customWidth="1" style="35" min="6" max="6"/>
    <col width="11" customWidth="1" style="35" min="7" max="7"/>
    <col width="34" customWidth="1" style="35" min="8" max="8"/>
    <col width="8" customWidth="1" style="35" min="9" max="10"/>
    <col width="11" customWidth="1" style="35" min="11" max="11"/>
    <col width="24" customWidth="1" style="35" min="12" max="12"/>
  </cols>
  <sheetData>
    <row r="1" ht="16.15" customHeight="1" s="36">
      <c r="A1" s="41" t="inlineStr">
        <is>
          <t>🌙 DIARIO — 1 fila/día (la escribe el bot en el cierre). Ánimo: 1=😫 2=😐 3=🙂 4=🔥</t>
        </is>
      </c>
    </row>
    <row r="2" ht="15" customHeight="1" s="36">
      <c r="A2" s="42" t="inlineStr">
        <is>
          <t>Fecha</t>
        </is>
      </c>
      <c r="B2" s="42" t="inlineStr">
        <is>
          <t>Ejercicio</t>
        </is>
      </c>
      <c r="C2" s="42" t="inlineStr">
        <is>
          <t>Meditación</t>
        </is>
      </c>
      <c r="D2" s="42" t="inlineStr">
        <is>
          <t>Última comida</t>
        </is>
      </c>
      <c r="E2" s="42" t="inlineStr">
        <is>
          <t>Sueño 7h+</t>
        </is>
      </c>
      <c r="F2" s="42" t="inlineStr">
        <is>
          <t>Ánimo (1-4)</t>
        </is>
      </c>
      <c r="G2" s="42" t="inlineStr">
        <is>
          <t>Hora dormí</t>
        </is>
      </c>
      <c r="H2" s="42" t="inlineStr">
        <is>
          <t>MITs de mañana</t>
        </is>
      </c>
      <c r="I2" s="42" t="inlineStr">
        <is>
          <t>Brief ✓</t>
        </is>
      </c>
      <c r="J2" s="42" t="inlineStr">
        <is>
          <t>Cierre ✓</t>
        </is>
      </c>
      <c r="K2" s="42" t="inlineStr">
        <is>
          <t>Excepción</t>
        </is>
      </c>
      <c r="L2" s="42" t="inlineStr">
        <is>
          <t>Notas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44" customWidth="1" style="35" min="2" max="2"/>
    <col width="16" customWidth="1" style="35" min="3" max="3"/>
    <col width="10" customWidth="1" style="35" min="4" max="4"/>
    <col width="14" customWidth="1" style="35" min="5" max="5"/>
    <col width="12" customWidth="1" style="35" min="6" max="7"/>
    <col width="24" customWidth="1" style="35" min="8" max="8"/>
  </cols>
  <sheetData>
    <row r="1" ht="16.15" customHeight="1" s="36">
      <c r="A1" s="41" t="inlineStr">
        <is>
          <t>✅ TAREAS — sueltas y MITs. Por chat: 'tarea: ...'</t>
        </is>
      </c>
    </row>
    <row r="2" ht="15" customHeight="1" s="36">
      <c r="A2" s="42" t="inlineStr">
        <is>
          <t>Creada</t>
        </is>
      </c>
      <c r="B2" s="42" t="inlineStr">
        <is>
          <t>Descripción</t>
        </is>
      </c>
      <c r="C2" s="42" t="inlineStr">
        <is>
          <t>Proyecto</t>
        </is>
      </c>
      <c r="D2" s="42" t="inlineStr">
        <is>
          <t>Tipo</t>
        </is>
      </c>
      <c r="E2" s="42" t="inlineStr">
        <is>
          <t>Fecha objetivo</t>
        </is>
      </c>
      <c r="F2" s="42" t="inlineStr">
        <is>
          <t>Estado</t>
        </is>
      </c>
      <c r="G2" s="42" t="inlineStr">
        <is>
          <t>Completada</t>
        </is>
      </c>
      <c r="H2" s="42" t="inlineStr">
        <is>
          <t>Notas</t>
        </is>
      </c>
    </row>
    <row r="4" ht="15" customHeight="1" s="36">
      <c r="A4" s="43" t="n">
        <v>46185</v>
      </c>
      <c r="B4" s="44" t="inlineStr">
        <is>
          <t>Agendar revisión técnica camioneta (ejemplo real, ¡hazla!)</t>
        </is>
      </c>
      <c r="C4" s="44" t="inlineStr">
        <is>
          <t>—</t>
        </is>
      </c>
      <c r="D4" s="44" t="inlineStr">
        <is>
          <t>Tarea</t>
        </is>
      </c>
      <c r="E4" s="43" t="n">
        <v>46193</v>
      </c>
      <c r="F4" s="44" t="inlineStr">
        <is>
          <t>Pendiente</t>
        </is>
      </c>
      <c r="G4" s="44" t="n"/>
      <c r="H4" s="44" t="inlineStr">
        <is>
          <t>Vence en junio ⚠️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5" min="1" max="1"/>
    <col width="12" customWidth="1" style="35" min="2" max="2"/>
    <col width="34" customWidth="1" style="35" min="3" max="3"/>
    <col width="30" customWidth="1" style="35" min="4" max="4"/>
    <col width="10" customWidth="1" style="35" min="5" max="5"/>
    <col width="12" customWidth="1" style="35" min="6" max="6"/>
    <col width="28" customWidth="1" style="35" min="7" max="7"/>
  </cols>
  <sheetData>
    <row r="1" ht="16.15" customHeight="1" s="36">
      <c r="A1" s="41" t="inlineStr">
        <is>
          <t>🚀 PROYECTOS — tus frentes. Editas tú (amarillo); el bot marca avance.</t>
        </is>
      </c>
    </row>
    <row r="2" ht="15" customHeight="1" s="36">
      <c r="A2" s="42" t="inlineStr">
        <is>
          <t>Proyecto</t>
        </is>
      </c>
      <c r="B2" s="42" t="inlineStr">
        <is>
          <t>Estado</t>
        </is>
      </c>
      <c r="C2" s="42" t="inlineStr">
        <is>
          <t>Foco actual</t>
        </is>
      </c>
      <c r="D2" s="42" t="inlineStr">
        <is>
          <t>Próxima acción</t>
        </is>
      </c>
      <c r="E2" s="42" t="inlineStr">
        <is>
          <t>% Avance</t>
        </is>
      </c>
      <c r="F2" s="42" t="inlineStr">
        <is>
          <t>Última act.</t>
        </is>
      </c>
      <c r="G2" s="42" t="inlineStr">
        <is>
          <t>Notas</t>
        </is>
      </c>
    </row>
    <row r="3" ht="15" customHeight="1" s="36">
      <c r="A3" s="45" t="n"/>
      <c r="C3" s="45" t="n"/>
      <c r="D3" s="45" t="n"/>
      <c r="E3" s="46" t="n"/>
    </row>
    <row r="4" ht="15" customHeight="1" s="36">
      <c r="A4" s="47" t="inlineStr">
        <is>
          <t>Tesis</t>
        </is>
      </c>
      <c r="B4" s="44" t="inlineStr">
        <is>
          <t>Activo</t>
        </is>
      </c>
      <c r="C4" s="47" t="inlineStr">
        <is>
          <t>Pruebas de laboratorio + escritura</t>
        </is>
      </c>
      <c r="D4" s="47" t="inlineStr">
        <is>
          <t>(define tu próxima acción)</t>
        </is>
      </c>
      <c r="E4" s="48" t="n">
        <v>0</v>
      </c>
      <c r="F4" s="43" t="n">
        <v>46185</v>
      </c>
      <c r="G4" s="44" t="inlineStr">
        <is>
          <t>Prioridad #4 según tu ranking</t>
        </is>
      </c>
    </row>
    <row r="5" ht="15" customHeight="1" s="36">
      <c r="A5" s="47" t="inlineStr">
        <is>
          <t>Noomi Cookies</t>
        </is>
      </c>
      <c r="B5" s="44" t="inlineStr">
        <is>
          <t>Activo</t>
        </is>
      </c>
      <c r="C5" s="47" t="inlineStr">
        <is>
          <t>Operación del emprendimiento</t>
        </is>
      </c>
      <c r="D5" s="47" t="inlineStr">
        <is>
          <t>(define tu próxima acción)</t>
        </is>
      </c>
      <c r="E5" s="48" t="n">
        <v>0</v>
      </c>
      <c r="F5" s="43" t="n">
        <v>46185</v>
      </c>
      <c r="G5" s="44" t="n"/>
    </row>
    <row r="6" ht="15" customHeight="1" s="36">
      <c r="A6" s="47" t="inlineStr">
        <is>
          <t>Monetizar Noomi</t>
        </is>
      </c>
      <c r="B6" s="44" t="inlineStr">
        <is>
          <t>Activo</t>
        </is>
      </c>
      <c r="C6" s="47" t="inlineStr">
        <is>
          <t>Vender Excel ERP + Bot a pastelerías</t>
        </is>
      </c>
      <c r="D6" s="47" t="inlineStr">
        <is>
          <t>(define tu próxima acción)</t>
        </is>
      </c>
      <c r="E6" s="48" t="n">
        <v>0.05</v>
      </c>
      <c r="F6" s="43" t="n">
        <v>46185</v>
      </c>
      <c r="G6" s="44" t="inlineStr">
        <is>
          <t>Prioridad #3</t>
        </is>
      </c>
    </row>
    <row r="7" ht="15" customHeight="1" s="36">
      <c r="A7" s="47" t="inlineStr">
        <is>
          <t>Delivery</t>
        </is>
      </c>
      <c r="B7" s="44" t="inlineStr">
        <is>
          <t>Activo</t>
        </is>
      </c>
      <c r="C7" s="47" t="inlineStr">
        <is>
          <t>Ingresos fin de semana (Uber Eats)</t>
        </is>
      </c>
      <c r="D7" s="47" t="inlineStr">
        <is>
          <t>—</t>
        </is>
      </c>
      <c r="E7" s="48" t="n">
        <v>1</v>
      </c>
      <c r="F7" s="43" t="n">
        <v>46185</v>
      </c>
      <c r="G7" s="44" t="inlineStr">
        <is>
          <t>Meta $50k/semana</t>
        </is>
      </c>
    </row>
    <row r="8" ht="15" customHeight="1" s="36">
      <c r="A8" s="44" t="inlineStr">
        <is>
          <t>Sistema Personal</t>
        </is>
      </c>
      <c r="B8" s="44" t="inlineStr">
        <is>
          <t>Activo</t>
        </is>
      </c>
      <c r="C8" s="44" t="inlineStr">
        <is>
          <t>Construcción bot Donna</t>
        </is>
      </c>
      <c r="D8" s="44" t="inlineStr">
        <is>
          <t>Deploy Fase 1 en Railway</t>
        </is>
      </c>
      <c r="E8" s="44" t="n">
        <v>0.1</v>
      </c>
      <c r="F8" s="43" t="n">
        <v>46185</v>
      </c>
      <c r="G8" s="44" t="inlineStr">
        <is>
          <t>F0 completada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35" min="1" max="1"/>
    <col width="10" customWidth="1" style="35" min="2" max="2"/>
    <col width="14" customWidth="1" style="35" min="3" max="3"/>
    <col width="12" customWidth="1" style="35" min="4" max="5"/>
    <col width="13" customWidth="1" style="35" min="6" max="6"/>
    <col width="14" customWidth="1" style="35" min="7" max="7"/>
    <col width="8" customWidth="1" style="35" min="8" max="8"/>
  </cols>
  <sheetData>
    <row r="1" ht="16.15" customHeight="1" s="36">
      <c r="A1" s="41" t="inlineStr">
        <is>
          <t>🔔 RECORDATORIOS — escalera: domingo + T-2 + T-0 + insiste si vence.</t>
        </is>
      </c>
    </row>
    <row r="2" ht="23.85" customHeight="1" s="36">
      <c r="A2" s="42" t="inlineStr">
        <is>
          <t>Recordatorio</t>
        </is>
      </c>
      <c r="B2" s="42" t="inlineStr">
        <is>
          <t>Tipo</t>
        </is>
      </c>
      <c r="C2" s="42" t="inlineStr">
        <is>
          <t>Día / Fecha</t>
        </is>
      </c>
      <c r="D2" s="42" t="inlineStr">
        <is>
          <t>Monto aprox</t>
        </is>
      </c>
      <c r="E2" s="42" t="inlineStr">
        <is>
          <t>Estado</t>
        </is>
      </c>
      <c r="F2" s="42" t="inlineStr">
        <is>
          <t>Posposiciones</t>
        </is>
      </c>
      <c r="G2" s="42" t="inlineStr">
        <is>
          <t>Última acción</t>
        </is>
      </c>
      <c r="H2" s="42" t="inlineStr">
        <is>
          <t>Activo</t>
        </is>
      </c>
    </row>
    <row r="4" ht="15" customHeight="1" s="36">
      <c r="A4" s="44" t="inlineStr">
        <is>
          <t>Pago contadora</t>
        </is>
      </c>
      <c r="B4" s="44" t="inlineStr">
        <is>
          <t>Mensual</t>
        </is>
      </c>
      <c r="C4" s="44" t="inlineStr">
        <is>
          <t>1</t>
        </is>
      </c>
      <c r="D4" s="44" t="n"/>
      <c r="E4" s="44" t="inlineStr">
        <is>
          <t>Pendiente</t>
        </is>
      </c>
      <c r="F4" s="44" t="n">
        <v>0</v>
      </c>
      <c r="G4" s="44" t="n"/>
      <c r="H4" s="44" t="inlineStr">
        <is>
          <t>Sí</t>
        </is>
      </c>
    </row>
    <row r="5" ht="15" customHeight="1" s="36">
      <c r="A5" s="44" t="inlineStr">
        <is>
          <t>Pago IVA</t>
        </is>
      </c>
      <c r="B5" s="44" t="inlineStr">
        <is>
          <t>Mensual</t>
        </is>
      </c>
      <c r="C5" s="44" t="inlineStr">
        <is>
          <t>1</t>
        </is>
      </c>
      <c r="D5" s="44" t="n"/>
      <c r="E5" s="44" t="inlineStr">
        <is>
          <t>Pendiente</t>
        </is>
      </c>
      <c r="F5" s="44" t="n">
        <v>0</v>
      </c>
      <c r="G5" s="44" t="n"/>
      <c r="H5" s="44" t="inlineStr">
        <is>
          <t>Sí</t>
        </is>
      </c>
    </row>
    <row r="6" ht="15" customHeight="1" s="36">
      <c r="A6" s="44" t="inlineStr">
        <is>
          <t>Cumple mes pareja 💕</t>
        </is>
      </c>
      <c r="B6" s="44" t="inlineStr">
        <is>
          <t>Mensual</t>
        </is>
      </c>
      <c r="C6" s="44" t="inlineStr">
        <is>
          <t>2</t>
        </is>
      </c>
      <c r="D6" s="44" t="n"/>
      <c r="E6" s="44" t="inlineStr">
        <is>
          <t>Pendiente</t>
        </is>
      </c>
      <c r="F6" s="44" t="n">
        <v>0</v>
      </c>
      <c r="G6" s="44" t="n"/>
      <c r="H6" s="44" t="inlineStr">
        <is>
          <t>Sí</t>
        </is>
      </c>
    </row>
    <row r="7" ht="15" customHeight="1" s="36">
      <c r="A7" s="44" t="inlineStr">
        <is>
          <t>Pago luz</t>
        </is>
      </c>
      <c r="B7" s="44" t="inlineStr">
        <is>
          <t>Mensual</t>
        </is>
      </c>
      <c r="C7" s="44" t="inlineStr">
        <is>
          <t>10</t>
        </is>
      </c>
      <c r="D7" s="44" t="n"/>
      <c r="E7" s="44" t="inlineStr">
        <is>
          <t>Pendiente</t>
        </is>
      </c>
      <c r="F7" s="44" t="n">
        <v>0</v>
      </c>
      <c r="G7" s="44" t="n"/>
      <c r="H7" s="44" t="inlineStr">
        <is>
          <t>Sí</t>
        </is>
      </c>
    </row>
    <row r="8" ht="15" customHeight="1" s="36">
      <c r="A8" s="44" t="inlineStr">
        <is>
          <t>Pago niñera</t>
        </is>
      </c>
      <c r="B8" s="44" t="inlineStr">
        <is>
          <t>Mensual</t>
        </is>
      </c>
      <c r="C8" s="44" t="inlineStr">
        <is>
          <t>10</t>
        </is>
      </c>
      <c r="D8" s="44" t="n"/>
      <c r="E8" s="44" t="inlineStr">
        <is>
          <t>Pendiente</t>
        </is>
      </c>
      <c r="F8" s="44" t="n">
        <v>0</v>
      </c>
      <c r="G8" s="44" t="n"/>
      <c r="H8" s="44" t="inlineStr">
        <is>
          <t>Sí</t>
        </is>
      </c>
    </row>
    <row r="9" ht="15" customHeight="1" s="36">
      <c r="A9" s="44" t="inlineStr">
        <is>
          <t>Aniversario pareja 💍</t>
        </is>
      </c>
      <c r="B9" s="44" t="inlineStr">
        <is>
          <t>Anual</t>
        </is>
      </c>
      <c r="C9" s="44" t="inlineStr">
        <is>
          <t>2026-05-02</t>
        </is>
      </c>
      <c r="D9" s="44" t="n"/>
      <c r="E9" s="44" t="inlineStr">
        <is>
          <t>Pendiente</t>
        </is>
      </c>
      <c r="F9" s="44" t="n">
        <v>0</v>
      </c>
      <c r="G9" s="44" t="n"/>
      <c r="H9" s="44" t="inlineStr">
        <is>
          <t>Sí</t>
        </is>
      </c>
    </row>
    <row r="10" ht="15" customHeight="1" s="36">
      <c r="A10" s="44" t="inlineStr">
        <is>
          <t>Cumpleaños pareja 🎂</t>
        </is>
      </c>
      <c r="B10" s="44" t="inlineStr">
        <is>
          <t>Anual</t>
        </is>
      </c>
      <c r="C10" s="44" t="inlineStr">
        <is>
          <t>2026-05-26</t>
        </is>
      </c>
      <c r="D10" s="44" t="n"/>
      <c r="E10" s="44" t="inlineStr">
        <is>
          <t>Pendiente</t>
        </is>
      </c>
      <c r="F10" s="44" t="n">
        <v>0</v>
      </c>
      <c r="G10" s="44" t="n"/>
      <c r="H10" s="44" t="inlineStr">
        <is>
          <t>Sí</t>
        </is>
      </c>
    </row>
    <row r="11" ht="15" customHeight="1" s="36">
      <c r="A11" s="44" t="inlineStr">
        <is>
          <t>Revisión técnica camioneta</t>
        </is>
      </c>
      <c r="B11" s="44" t="inlineStr">
        <is>
          <t>Única</t>
        </is>
      </c>
      <c r="C11" s="44" t="inlineStr">
        <is>
          <t>2026-06-30</t>
        </is>
      </c>
      <c r="D11" s="44" t="n"/>
      <c r="E11" s="44" t="inlineStr">
        <is>
          <t>Pendiente</t>
        </is>
      </c>
      <c r="F11" s="44" t="n">
        <v>0</v>
      </c>
      <c r="G11" s="44" t="n"/>
      <c r="H11" s="44" t="inlineStr">
        <is>
          <t>Sí</t>
        </is>
      </c>
    </row>
    <row r="12" ht="15" customHeight="1" s="36">
      <c r="A12" s="44" t="inlineStr">
        <is>
          <t>(verifica tu 9° recordatorio de Vida_v6)</t>
        </is>
      </c>
      <c r="B12" s="44" t="inlineStr">
        <is>
          <t>Mensual</t>
        </is>
      </c>
      <c r="C12" s="44" t="n"/>
      <c r="D12" s="44" t="n"/>
      <c r="E12" s="44" t="inlineStr">
        <is>
          <t>Pendiente</t>
        </is>
      </c>
      <c r="F12" s="44" t="n">
        <v>0</v>
      </c>
      <c r="G12" s="44" t="n"/>
      <c r="H12" s="44" t="inlineStr">
        <is>
          <t>Sí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30" customWidth="1" style="35" min="2" max="2"/>
    <col width="12" customWidth="1" style="35" min="3" max="3"/>
    <col width="13" customWidth="1" style="35" min="4" max="4"/>
    <col width="10" customWidth="1" style="35" min="5" max="5"/>
    <col width="9" customWidth="1" style="35" min="6" max="6"/>
    <col width="11" customWidth="1" style="35" min="7" max="7"/>
    <col width="40" customWidth="1" style="35" min="8" max="8"/>
  </cols>
  <sheetData>
    <row r="1" ht="16.15" customHeight="1" s="36">
      <c r="A1" s="41" t="inlineStr">
        <is>
          <t>⏱️ RECONCILIACIÓN — plan vs. real (la escribe el bot en el cierre con tus toques).</t>
        </is>
      </c>
    </row>
    <row r="2" ht="23.85" customHeight="1" s="36">
      <c r="A2" s="42" t="inlineStr">
        <is>
          <t>Fecha</t>
        </is>
      </c>
      <c r="B2" s="42" t="inlineStr">
        <is>
          <t>Bloque / Evento</t>
        </is>
      </c>
      <c r="C2" s="42" t="inlineStr">
        <is>
          <t>Frente</t>
        </is>
      </c>
      <c r="D2" s="42" t="inlineStr">
        <is>
          <t>Min planeados</t>
        </is>
      </c>
      <c r="E2" s="42" t="inlineStr">
        <is>
          <t>¿Hecho?</t>
        </is>
      </c>
      <c r="F2" s="42" t="inlineStr">
        <is>
          <t>Delta</t>
        </is>
      </c>
      <c r="G2" s="42" t="inlineStr">
        <is>
          <t>Min reales</t>
        </is>
      </c>
      <c r="H2" s="42" t="inlineStr">
        <is>
          <t>Notas</t>
        </is>
      </c>
    </row>
    <row r="3" ht="15" customHeight="1" s="36">
      <c r="H3" s="49" t="inlineStr">
        <is>
          <t>Frente ∈ {Tesis, Noomi, Delivery, Hijo, Personal}. Delta ∈ {Menos, Igual, Más}. Alimenta el tiempo-por-frente del Semanal y el factor de optimismo.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5" min="1" max="1"/>
    <col width="11" customWidth="1" style="35" min="8" max="8"/>
    <col width="13" customWidth="1" style="35" min="9" max="9"/>
    <col width="15" customWidth="1" style="35" min="14" max="14"/>
    <col width="24" customWidth="1" style="35" min="15" max="15"/>
    <col width="12" customWidth="1" style="35" min="16" max="16"/>
    <col width="13" customWidth="1" style="35" min="17" max="17"/>
  </cols>
  <sheetData>
    <row r="1" ht="16.15" customHeight="1" s="36">
      <c r="A1" s="41" t="inlineStr">
        <is>
          <t>📊 SEMANAL — lo genera el bot el domingo. Solo lectura.</t>
        </is>
      </c>
    </row>
    <row r="2" ht="23.85" customHeight="1" s="36">
      <c r="A2" s="42" t="inlineStr">
        <is>
          <t>Semana (lunes)</t>
        </is>
      </c>
      <c r="B2" s="42" t="inlineStr">
        <is>
          <t>Cierres /7</t>
        </is>
      </c>
      <c r="C2" s="42" t="inlineStr">
        <is>
          <t>Briefs /7</t>
        </is>
      </c>
      <c r="D2" s="42" t="inlineStr">
        <is>
          <t>🏃 /7</t>
        </is>
      </c>
      <c r="E2" s="42" t="inlineStr">
        <is>
          <t>🧘 /7</t>
        </is>
      </c>
      <c r="F2" s="42" t="inlineStr">
        <is>
          <t>😴 /7</t>
        </is>
      </c>
      <c r="G2" s="42" t="inlineStr">
        <is>
          <t>Ayuno /7</t>
        </is>
      </c>
      <c r="H2" s="42" t="inlineStr">
        <is>
          <t>Ánimo prom</t>
        </is>
      </c>
      <c r="I2" s="42" t="inlineStr">
        <is>
          <t>Gasto semana</t>
        </is>
      </c>
      <c r="J2" s="42" t="inlineStr">
        <is>
          <t>h Tesis</t>
        </is>
      </c>
      <c r="K2" s="42" t="inlineStr">
        <is>
          <t>h Noomi</t>
        </is>
      </c>
      <c r="L2" s="42" t="inlineStr">
        <is>
          <t>h Delivery</t>
        </is>
      </c>
      <c r="M2" s="42" t="inlineStr">
        <is>
          <t>h Hijo</t>
        </is>
      </c>
      <c r="N2" s="42" t="inlineStr">
        <is>
          <t>Factor optimismo</t>
        </is>
      </c>
      <c r="O2" s="42" t="inlineStr">
        <is>
          <t>Meta semana</t>
        </is>
      </c>
      <c r="P2" s="42" t="inlineStr">
        <is>
          <t>¿Cumplida?</t>
        </is>
      </c>
      <c r="Q2" s="42" t="inlineStr">
        <is>
          <t>👶 Tiempo hijo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35" min="1" max="1"/>
    <col width="40" customWidth="1" style="35" min="2" max="2"/>
    <col width="42" customWidth="1" style="35" min="3" max="3"/>
  </cols>
  <sheetData>
    <row r="1" ht="16.15" customHeight="1" s="36">
      <c r="A1" s="37" t="inlineStr">
        <is>
          <t>⚙️ CONFIGURACIÓN — el bot lee esto al arrancar. Amarillo = editable.</t>
        </is>
      </c>
    </row>
    <row r="2" ht="15" customHeight="1" s="36">
      <c r="A2" s="50" t="inlineStr">
        <is>
          <t>Parámetro</t>
        </is>
      </c>
      <c r="B2" s="50" t="inlineStr">
        <is>
          <t>Valor</t>
        </is>
      </c>
      <c r="C2" s="50" t="inlineStr">
        <is>
          <t>Nota</t>
        </is>
      </c>
    </row>
    <row r="3" ht="15" customHeight="1" s="36">
      <c r="B3" s="45" t="n"/>
    </row>
    <row r="4" ht="15" customHeight="1" s="36">
      <c r="A4" s="44" t="inlineStr">
        <is>
          <t>Hora del brief</t>
        </is>
      </c>
      <c r="B4" s="47" t="inlineStr">
        <is>
          <t>08:00</t>
        </is>
      </c>
      <c r="C4" s="44" t="inlineStr">
        <is>
          <t>Arranque del día, solo lectura</t>
        </is>
      </c>
    </row>
    <row r="5" ht="15" customHeight="1" s="36">
      <c r="A5" s="44" t="inlineStr">
        <is>
          <t>Hora del cierre</t>
        </is>
      </c>
      <c r="B5" s="47" t="inlineStr">
        <is>
          <t>22:00</t>
        </is>
      </c>
      <c r="C5" s="44" t="inlineStr">
        <is>
          <t>Ancla para estar en cama a las 23:00</t>
        </is>
      </c>
    </row>
    <row r="6" ht="15" customHeight="1" s="36">
      <c r="A6" s="44" t="inlineStr">
        <is>
          <t>Día de revisión semanal</t>
        </is>
      </c>
      <c r="B6" s="47" t="inlineStr">
        <is>
          <t>Domingo</t>
        </is>
      </c>
      <c r="C6" s="44" t="inlineStr">
        <is>
          <t>El cierre se extiende con el resumen</t>
        </is>
      </c>
    </row>
    <row r="7" ht="15" customHeight="1" s="36">
      <c r="A7" s="44" t="inlineStr">
        <is>
          <t>Hábitos del cierre</t>
        </is>
      </c>
      <c r="B7" s="47" t="inlineStr">
        <is>
          <t>Ejercicio, Meditación, Última comida</t>
        </is>
      </c>
      <c r="C7" s="44" t="inlineStr">
        <is>
          <t>Botones a las 22:00</t>
        </is>
      </c>
    </row>
    <row r="8" ht="15" customHeight="1" s="36">
      <c r="A8" s="44" t="inlineStr">
        <is>
          <t>Hábito del brief</t>
        </is>
      </c>
      <c r="B8" s="47" t="inlineStr">
        <is>
          <t>Sueño 7h+</t>
        </is>
      </c>
      <c r="C8" s="44" t="inlineStr">
        <is>
          <t>Se pregunta a las 8:00</t>
        </is>
      </c>
    </row>
    <row r="9" ht="15" customHeight="1" s="36">
      <c r="A9" s="44" t="inlineStr">
        <is>
          <t>Meta hora de dormir</t>
        </is>
      </c>
      <c r="B9" s="47" t="inlineStr">
        <is>
          <t>23:00</t>
        </is>
      </c>
      <c r="C9" s="44" t="inlineStr">
        <is>
          <t>Tu objetivo (hoy ~1:00)</t>
        </is>
      </c>
    </row>
    <row r="10" ht="15" customHeight="1" s="36">
      <c r="A10" s="44" t="inlineStr">
        <is>
          <t>Telegram Chat ID</t>
        </is>
      </c>
      <c r="B10" s="47" t="inlineStr">
        <is>
          <t>(llenar)</t>
        </is>
      </c>
      <c r="C10" s="44" t="inlineStr">
        <is>
          <t>El bot solo te responde a ti</t>
        </is>
      </c>
    </row>
    <row r="11" ht="15" customHeight="1" s="36">
      <c r="A11" s="44" t="inlineStr">
        <is>
          <t>Mes activo</t>
        </is>
      </c>
      <c r="B11" s="47" t="n">
        <v>6</v>
      </c>
      <c r="C11" s="44" t="inlineStr">
        <is>
          <t>1-12. Filtra Dashboard y Comparativo</t>
        </is>
      </c>
    </row>
    <row r="12" ht="15" customHeight="1" s="36">
      <c r="A12" s="44" t="inlineStr">
        <is>
          <t>Año activo</t>
        </is>
      </c>
      <c r="B12" s="47" t="n">
        <v>2026</v>
      </c>
      <c r="C12" s="44" t="inlineStr">
        <is>
          <t>AAAA</t>
        </is>
      </c>
    </row>
    <row r="13" ht="15" customHeight="1" s="36">
      <c r="A13" s="44" t="inlineStr">
        <is>
          <t>Frentes (reconciliación)</t>
        </is>
      </c>
      <c r="B13" s="47" t="inlineStr">
        <is>
          <t>Tesis, Noomi, Delivery, Hijo, Personal</t>
        </is>
      </c>
      <c r="C13" s="44" t="inlineStr">
        <is>
          <t>Categorías de tiempo</t>
        </is>
      </c>
    </row>
    <row r="14" ht="15" customHeight="1" s="36">
      <c r="A14" s="44" t="inlineStr">
        <is>
          <t>Módulo Aprendizaje</t>
        </is>
      </c>
      <c r="B14" s="47" t="inlineStr">
        <is>
          <t>ON</t>
        </is>
      </c>
      <c r="C14" s="44" t="inlineStr">
        <is>
          <t>Calibra inferencias + factor de optimismo</t>
        </is>
      </c>
    </row>
    <row r="15" ht="15" customHeight="1" s="36">
      <c r="A15" s="44" t="inlineStr">
        <is>
          <t>Módulo Proactividad</t>
        </is>
      </c>
      <c r="B15" s="47" t="inlineStr">
        <is>
          <t>ON</t>
        </is>
      </c>
      <c r="C15" s="44" t="inlineStr">
        <is>
          <t>Máx 1 mensaje espontáneo/día (12:00)</t>
        </is>
      </c>
    </row>
    <row r="16" ht="15" customHeight="1" s="36">
      <c r="A16" s="44" t="inlineStr">
        <is>
          <t>Módulo Tiempo (log diario)</t>
        </is>
      </c>
      <c r="B16" s="47" t="inlineStr">
        <is>
          <t>OFF</t>
        </is>
      </c>
      <c r="C16" s="44" t="inlineStr">
        <is>
          <t>Dormido. Se promueve si el sistema lleva semanas vivo</t>
        </is>
      </c>
    </row>
    <row r="17" ht="15" customHeight="1" s="36">
      <c r="A17" s="44" t="inlineStr">
        <is>
          <t>Correo Outlook</t>
        </is>
      </c>
      <c r="B17" s="47" t="inlineStr">
        <is>
          <t>OFF</t>
        </is>
      </c>
      <c r="C17" s="44" t="inlineStr">
        <is>
          <t>Descartado: tu banco va a Gmail / correo dedicado</t>
        </is>
      </c>
    </row>
    <row r="18" ht="15" customHeight="1" s="36">
      <c r="A18" s="44" t="inlineStr">
        <is>
          <t>Correo: spam</t>
        </is>
      </c>
      <c r="B18" s="47" t="inlineStr">
        <is>
          <t>Archivar (etiqueta Donna/Archivado)</t>
        </is>
      </c>
      <c r="C18" s="44" t="inlineStr">
        <is>
          <t>JAMÁS borra — solo etiqueta, recuperable</t>
        </is>
      </c>
    </row>
    <row r="19" ht="15" customHeight="1" s="36">
      <c r="A19" s="44" t="inlineStr">
        <is>
          <t>Correo: triage</t>
        </is>
      </c>
      <c r="B19" s="44" t="inlineStr">
        <is>
          <t>3 buckets (spam/importante/financiero)</t>
        </is>
      </c>
      <c r="C19" s="44" t="inlineStr">
        <is>
          <t>Importantes → resumen brief; financieros → digest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9" customWidth="1" style="35" min="2" max="2"/>
    <col width="15" customWidth="1" style="35" min="3" max="3"/>
    <col width="14" customWidth="1" style="35" min="4" max="4"/>
    <col width="22" customWidth="1" style="35" min="5" max="5"/>
    <col width="12" customWidth="1" style="35" min="6" max="6"/>
    <col width="15" customWidth="1" style="35" min="7" max="7"/>
    <col width="11" customWidth="1" style="35" min="8" max="8"/>
    <col width="26" customWidth="1" style="35" min="9" max="9"/>
    <col width="14" customWidth="1" style="36" min="10" max="10"/>
  </cols>
  <sheetData>
    <row r="1" ht="16.15" customHeight="1" s="36">
      <c r="A1" s="59" t="inlineStr">
        <is>
          <t>💰 TRANSACCIONES — base del dinero. El bot escribe aquí tras tu visto bueno.</t>
        </is>
      </c>
    </row>
    <row r="2" ht="15" customHeight="1" s="36">
      <c r="A2" s="53" t="inlineStr">
        <is>
          <t>Fecha</t>
        </is>
      </c>
      <c r="B2" s="53" t="inlineStr">
        <is>
          <t>Tipo</t>
        </is>
      </c>
      <c r="C2" s="53" t="inlineStr">
        <is>
          <t>Categoría</t>
        </is>
      </c>
      <c r="D2" s="53" t="inlineStr">
        <is>
          <t>Subcategoría</t>
        </is>
      </c>
      <c r="E2" s="53" t="inlineStr">
        <is>
          <t>Comercio</t>
        </is>
      </c>
      <c r="F2" s="53" t="inlineStr">
        <is>
          <t>Monto</t>
        </is>
      </c>
      <c r="G2" s="53" t="inlineStr">
        <is>
          <t>Medio</t>
        </is>
      </c>
      <c r="H2" s="53" t="inlineStr">
        <is>
          <t>Fuente</t>
        </is>
      </c>
      <c r="I2" s="53" t="inlineStr">
        <is>
          <t>ID_Único</t>
        </is>
      </c>
      <c r="J2" s="53" t="inlineStr">
        <is>
          <t>Intención</t>
        </is>
      </c>
    </row>
    <row r="3" ht="15" customHeight="1" s="36">
      <c r="A3" s="54" t="n"/>
      <c r="F3" s="55" t="n"/>
    </row>
    <row r="4" ht="15" customHeight="1" s="36">
      <c r="A4" s="43" t="n">
        <v>46174</v>
      </c>
      <c r="B4" s="44" t="inlineStr">
        <is>
          <t>Gasto</t>
        </is>
      </c>
      <c r="C4" s="44" t="inlineStr">
        <is>
          <t>Alimentación</t>
        </is>
      </c>
      <c r="D4" s="44" t="inlineStr">
        <is>
          <t>Supermercado</t>
        </is>
      </c>
      <c r="E4" s="44" t="inlineStr">
        <is>
          <t>Unimarc Las Condes</t>
        </is>
      </c>
      <c r="F4" s="56" t="n">
        <v>38500</v>
      </c>
      <c r="G4" s="44" t="inlineStr">
        <is>
          <t>Banco de Chile</t>
        </is>
      </c>
      <c r="H4" s="44" t="inlineStr">
        <is>
          <t>email_auto</t>
        </is>
      </c>
      <c r="I4" s="44" t="inlineStr">
        <is>
          <t>2026-06-01_38500_Unimarc</t>
        </is>
      </c>
    </row>
    <row r="5" ht="15" customHeight="1" s="36">
      <c r="A5" s="43" t="n">
        <v>46174</v>
      </c>
      <c r="B5" s="44" t="inlineStr">
        <is>
          <t>Gasto</t>
        </is>
      </c>
      <c r="C5" s="44" t="inlineStr">
        <is>
          <t>Transporte</t>
        </is>
      </c>
      <c r="D5" s="44" t="inlineStr">
        <is>
          <t>Taxi/Uber</t>
        </is>
      </c>
      <c r="E5" s="44" t="inlineStr">
        <is>
          <t>Uber al centro</t>
        </is>
      </c>
      <c r="F5" s="56" t="n">
        <v>4200</v>
      </c>
      <c r="G5" s="44" t="inlineStr">
        <is>
          <t>Mach</t>
        </is>
      </c>
      <c r="H5" s="44" t="inlineStr">
        <is>
          <t>manual</t>
        </is>
      </c>
      <c r="I5" s="44" t="inlineStr">
        <is>
          <t>2026-06-01_4200_Uber</t>
        </is>
      </c>
    </row>
    <row r="6" ht="15" customHeight="1" s="36">
      <c r="A6" s="43" t="n">
        <v>46175</v>
      </c>
      <c r="B6" s="44" t="inlineStr">
        <is>
          <t>Gasto</t>
        </is>
      </c>
      <c r="C6" s="44" t="inlineStr">
        <is>
          <t>Salud</t>
        </is>
      </c>
      <c r="D6" s="44" t="inlineStr">
        <is>
          <t>Farmacia</t>
        </is>
      </c>
      <c r="E6" s="44" t="inlineStr">
        <is>
          <t>Cruz Verde</t>
        </is>
      </c>
      <c r="F6" s="56" t="n">
        <v>12990</v>
      </c>
      <c r="G6" s="44" t="inlineStr">
        <is>
          <t>Banco de Chile</t>
        </is>
      </c>
      <c r="H6" s="44" t="inlineStr">
        <is>
          <t>foto</t>
        </is>
      </c>
      <c r="I6" s="44" t="inlineStr">
        <is>
          <t>2026-06-02_12990_CruzVerde</t>
        </is>
      </c>
    </row>
    <row r="7" ht="15" customHeight="1" s="36">
      <c r="A7" s="43" t="n">
        <v>46178</v>
      </c>
      <c r="B7" s="44" t="inlineStr">
        <is>
          <t>Ingreso</t>
        </is>
      </c>
      <c r="C7" s="44" t="inlineStr">
        <is>
          <t>Freelance</t>
        </is>
      </c>
      <c r="D7" s="44" t="inlineStr">
        <is>
          <t>Proyecto</t>
        </is>
      </c>
      <c r="E7" s="44" t="inlineStr">
        <is>
          <t>Pago cliente web</t>
        </is>
      </c>
      <c r="F7" s="56" t="n">
        <v>350000</v>
      </c>
      <c r="G7" s="44" t="inlineStr">
        <is>
          <t>Banco de Chile</t>
        </is>
      </c>
      <c r="H7" s="44" t="inlineStr">
        <is>
          <t>email_auto</t>
        </is>
      </c>
      <c r="I7" s="44" t="inlineStr">
        <is>
          <t>2026-06-05_350000_Pago</t>
        </is>
      </c>
    </row>
    <row r="8" ht="15" customHeight="1" s="36">
      <c r="A8" s="43" t="n">
        <v>46178</v>
      </c>
      <c r="B8" s="44" t="inlineStr">
        <is>
          <t>Gasto</t>
        </is>
      </c>
      <c r="C8" s="44" t="inlineStr">
        <is>
          <t>Suscripciones</t>
        </is>
      </c>
      <c r="D8" s="44" t="inlineStr">
        <is>
          <t>Streaming</t>
        </is>
      </c>
      <c r="E8" s="44" t="inlineStr">
        <is>
          <t>Netflix</t>
        </is>
      </c>
      <c r="F8" s="44" t="n">
        <v>8990</v>
      </c>
      <c r="G8" s="44" t="inlineStr">
        <is>
          <t>Banco de Chile</t>
        </is>
      </c>
      <c r="H8" s="44" t="inlineStr">
        <is>
          <t>email_auto</t>
        </is>
      </c>
      <c r="I8" s="44" t="inlineStr">
        <is>
          <t>2026-06-05_8990_Netflix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5" min="1" max="1"/>
    <col width="10" customWidth="1" style="35" min="2" max="2"/>
    <col width="18" customWidth="1" style="35" min="3" max="3"/>
    <col width="32" customWidth="1" style="35" min="4" max="4"/>
  </cols>
  <sheetData>
    <row r="1" ht="16.15" customHeight="1" s="36">
      <c r="A1" s="59" t="inlineStr">
        <is>
          <t>🏷️ CATEGORÍAS — única fuente de presupuestos.</t>
        </is>
      </c>
    </row>
    <row r="2" ht="23.85" customHeight="1" s="36">
      <c r="A2" s="53" t="inlineStr">
        <is>
          <t>Categoría</t>
        </is>
      </c>
      <c r="B2" s="53" t="inlineStr">
        <is>
          <t>Tipo</t>
        </is>
      </c>
      <c r="C2" s="53" t="inlineStr">
        <is>
          <t>Presupuesto Mensual</t>
        </is>
      </c>
      <c r="D2" s="53" t="inlineStr">
        <is>
          <t>Notas</t>
        </is>
      </c>
    </row>
    <row r="3" ht="15" customHeight="1" s="36">
      <c r="C3" s="57" t="n"/>
    </row>
    <row r="4" ht="15" customHeight="1" s="36">
      <c r="A4" s="44" t="inlineStr">
        <is>
          <t>Alimentación</t>
        </is>
      </c>
      <c r="B4" s="44" t="inlineStr">
        <is>
          <t>Gasto</t>
        </is>
      </c>
      <c r="C4" s="58" t="n">
        <v>250000</v>
      </c>
      <c r="D4" s="44" t="inlineStr">
        <is>
          <t>Super, minimarket</t>
        </is>
      </c>
    </row>
    <row r="5" ht="15" customHeight="1" s="36">
      <c r="A5" s="44" t="inlineStr">
        <is>
          <t>Chanchería</t>
        </is>
      </c>
      <c r="B5" s="44" t="inlineStr">
        <is>
          <t>Gasto</t>
        </is>
      </c>
      <c r="C5" s="58" t="n">
        <v>30000</v>
      </c>
      <c r="D5" s="44" t="inlineStr">
        <is>
          <t>Delivery, antojos</t>
        </is>
      </c>
    </row>
    <row r="6" ht="15" customHeight="1" s="36">
      <c r="A6" s="44" t="inlineStr">
        <is>
          <t>Transporte</t>
        </is>
      </c>
      <c r="B6" s="44" t="inlineStr">
        <is>
          <t>Gasto</t>
        </is>
      </c>
      <c r="C6" s="58" t="n">
        <v>50000</v>
      </c>
      <c r="D6" s="44" t="inlineStr">
        <is>
          <t>Bencina, Uber, micro</t>
        </is>
      </c>
    </row>
    <row r="7" ht="15" customHeight="1" s="36">
      <c r="A7" s="44" t="inlineStr">
        <is>
          <t>Salud</t>
        </is>
      </c>
      <c r="B7" s="44" t="inlineStr">
        <is>
          <t>Gasto</t>
        </is>
      </c>
      <c r="C7" s="58" t="n">
        <v>20000</v>
      </c>
      <c r="D7" s="44" t="inlineStr">
        <is>
          <t>Farmacia, médico, suplementos</t>
        </is>
      </c>
    </row>
    <row r="8" ht="15" customHeight="1" s="36">
      <c r="A8" s="44" t="inlineStr">
        <is>
          <t>Hijo</t>
        </is>
      </c>
      <c r="B8" s="44" t="inlineStr">
        <is>
          <t>Gasto</t>
        </is>
      </c>
      <c r="C8" s="58" t="n">
        <v>0</v>
      </c>
      <c r="D8" s="44" t="inlineStr">
        <is>
          <t>Pañales, ropa, salud, educación</t>
        </is>
      </c>
    </row>
    <row r="9" ht="15" customHeight="1" s="36">
      <c r="A9" s="44" t="inlineStr">
        <is>
          <t>Entretenimiento</t>
        </is>
      </c>
      <c r="B9" s="44" t="inlineStr">
        <is>
          <t>Gasto</t>
        </is>
      </c>
      <c r="C9" s="58" t="n">
        <v>40000</v>
      </c>
      <c r="D9" s="44" t="inlineStr">
        <is>
          <t>Salidas, asados</t>
        </is>
      </c>
    </row>
    <row r="10" ht="15" customHeight="1" s="36">
      <c r="A10" s="44" t="inlineStr">
        <is>
          <t>Suscripciones</t>
        </is>
      </c>
      <c r="B10" s="44" t="inlineStr">
        <is>
          <t>Gasto</t>
        </is>
      </c>
      <c r="C10" s="58" t="n">
        <v>0</v>
      </c>
      <c r="D10" s="44" t="inlineStr">
        <is>
          <t>Netflix, Spotify</t>
        </is>
      </c>
    </row>
    <row r="11" ht="15" customHeight="1" s="36">
      <c r="A11" s="44" t="inlineStr">
        <is>
          <t>Ropa</t>
        </is>
      </c>
      <c r="B11" s="44" t="inlineStr">
        <is>
          <t>Gasto</t>
        </is>
      </c>
      <c r="C11" s="58" t="n">
        <v>0</v>
      </c>
      <c r="D11" s="44" t="n"/>
    </row>
    <row r="12" ht="15" customHeight="1" s="36">
      <c r="A12" s="44" t="inlineStr">
        <is>
          <t>Hogar</t>
        </is>
      </c>
      <c r="B12" s="44" t="inlineStr">
        <is>
          <t>Gasto</t>
        </is>
      </c>
      <c r="C12" s="58" t="n">
        <v>80000</v>
      </c>
      <c r="D12" s="44" t="inlineStr">
        <is>
          <t>Limpieza, gastos hogar</t>
        </is>
      </c>
    </row>
    <row r="13" ht="15" customHeight="1" s="36">
      <c r="A13" s="44" t="inlineStr">
        <is>
          <t>GGCC</t>
        </is>
      </c>
      <c r="B13" s="44" t="inlineStr">
        <is>
          <t>Gasto</t>
        </is>
      </c>
      <c r="C13" s="58" t="n">
        <v>120000</v>
      </c>
      <c r="D13" s="44" t="inlineStr">
        <is>
          <t>Luz, agua, gas, internet</t>
        </is>
      </c>
    </row>
    <row r="14" ht="15" customHeight="1" s="36">
      <c r="A14" s="44" t="inlineStr">
        <is>
          <t>Educación</t>
        </is>
      </c>
      <c r="B14" s="44" t="inlineStr">
        <is>
          <t>Gasto</t>
        </is>
      </c>
      <c r="C14" s="58" t="n">
        <v>0</v>
      </c>
      <c r="D14" s="44" t="inlineStr">
        <is>
          <t>Cursos, libros</t>
        </is>
      </c>
    </row>
    <row r="15" ht="15" customHeight="1" s="36">
      <c r="A15" s="44" t="inlineStr">
        <is>
          <t>Tecnología</t>
        </is>
      </c>
      <c r="B15" s="44" t="inlineStr">
        <is>
          <t>Gasto</t>
        </is>
      </c>
      <c r="C15" s="58" t="n">
        <v>28000</v>
      </c>
      <c r="D15" s="44" t="inlineStr">
        <is>
          <t>Gadgets, software, APIs</t>
        </is>
      </c>
    </row>
    <row r="16" ht="15" customHeight="1" s="36">
      <c r="A16" s="44" t="inlineStr">
        <is>
          <t>Tarjeta Crédito</t>
        </is>
      </c>
      <c r="B16" s="44" t="inlineStr">
        <is>
          <t>Gasto</t>
        </is>
      </c>
      <c r="C16" s="58" t="n">
        <v>0</v>
      </c>
      <c r="D16" s="44" t="inlineStr">
        <is>
          <t>Pago de tarjeta</t>
        </is>
      </c>
    </row>
    <row r="17" ht="15" customHeight="1" s="36">
      <c r="A17" s="44" t="inlineStr">
        <is>
          <t>Otro Gasto</t>
        </is>
      </c>
      <c r="B17" s="44" t="inlineStr">
        <is>
          <t>Gasto</t>
        </is>
      </c>
      <c r="C17" s="58" t="n">
        <v>0</v>
      </c>
      <c r="D17" s="44" t="inlineStr">
        <is>
          <t>Sin clasificar</t>
        </is>
      </c>
    </row>
    <row r="18" ht="15" customHeight="1" s="36">
      <c r="A18" s="44" t="inlineStr">
        <is>
          <t>Freelance</t>
        </is>
      </c>
      <c r="B18" s="44" t="inlineStr">
        <is>
          <t>Ingreso</t>
        </is>
      </c>
      <c r="C18" s="58" t="n">
        <v>0</v>
      </c>
      <c r="D18" s="44" t="inlineStr">
        <is>
          <t>Proyectos independientes</t>
        </is>
      </c>
    </row>
    <row r="19" ht="15" customHeight="1" s="36">
      <c r="A19" s="44" t="inlineStr">
        <is>
          <t>Ayuda Familiar</t>
        </is>
      </c>
      <c r="B19" s="44" t="inlineStr">
        <is>
          <t>Ingreso</t>
        </is>
      </c>
      <c r="C19" s="58" t="n">
        <v>0</v>
      </c>
      <c r="D19" s="44" t="inlineStr">
        <is>
          <t>Ayuda padres</t>
        </is>
      </c>
    </row>
    <row r="20" ht="15" customHeight="1" s="36">
      <c r="A20" s="44" t="inlineStr">
        <is>
          <t>Uber Eats</t>
        </is>
      </c>
      <c r="B20" s="44" t="inlineStr">
        <is>
          <t>Ingreso</t>
        </is>
      </c>
      <c r="C20" s="58" t="n">
        <v>0</v>
      </c>
      <c r="D20" s="44" t="inlineStr">
        <is>
          <t>Reparto en moto</t>
        </is>
      </c>
    </row>
    <row r="21" ht="15" customHeight="1" s="36">
      <c r="A21" s="44" t="inlineStr">
        <is>
          <t>Clases</t>
        </is>
      </c>
      <c r="B21" s="44" t="inlineStr">
        <is>
          <t>Ingreso</t>
        </is>
      </c>
      <c r="C21" s="44" t="n">
        <v>0</v>
      </c>
      <c r="D21" s="44" t="inlineStr">
        <is>
          <t>Clases particulares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style="36" min="1" max="1"/>
    <col width="14" customWidth="1" style="36" min="2" max="2"/>
    <col width="14" customWidth="1" style="36" min="3" max="3"/>
    <col width="12" customWidth="1" style="36" min="4" max="4"/>
    <col width="30" customWidth="1" style="36" min="5" max="5"/>
  </cols>
  <sheetData>
    <row r="1">
      <c r="A1" s="59" t="inlineStr">
        <is>
          <t>🎯 METAS — tus metas de plata. Fija el Objetivo; Donna actualiza Actual/Progreso cuando aportas.</t>
        </is>
      </c>
    </row>
    <row r="2">
      <c r="A2" s="53" t="inlineStr">
        <is>
          <t>Meta</t>
        </is>
      </c>
      <c r="B2" s="53" t="inlineStr">
        <is>
          <t>Objetivo</t>
        </is>
      </c>
      <c r="C2" s="53" t="inlineStr">
        <is>
          <t>Actual</t>
        </is>
      </c>
      <c r="D2" s="53" t="inlineStr">
        <is>
          <t>Progreso</t>
        </is>
      </c>
      <c r="E2" s="53" t="inlineStr">
        <is>
          <t>Notas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style="36" min="1" max="1"/>
    <col width="18" customWidth="1" style="36" min="2" max="2"/>
    <col width="22" customWidth="1" style="36" min="3" max="3"/>
    <col width="9" customWidth="1" style="36" min="4" max="4"/>
    <col width="10" customWidth="1" style="36" min="5" max="5"/>
    <col width="14" customWidth="1" style="36" min="6" max="6"/>
    <col width="12" customWidth="1" style="36" min="7" max="7"/>
    <col width="11" customWidth="1" style="36" min="8" max="8"/>
    <col width="18" customWidth="1" style="36" min="9" max="9"/>
    <col width="9" customWidth="1" style="36" min="10" max="10"/>
  </cols>
  <sheetData>
    <row r="1">
      <c r="A1" s="59" t="inlineStr">
        <is>
          <t>🧾 COMPRAS_DETALLE — el detalle ítem-a-ítem de una compra (v3). Una transacción de Transacciones puede tener varias líneas acá (ID_Tx = ID_Único del padre).</t>
        </is>
      </c>
    </row>
    <row r="2">
      <c r="A2" s="53" t="inlineStr">
        <is>
          <t>Fecha</t>
        </is>
      </c>
      <c r="B2" s="53" t="inlineStr">
        <is>
          <t>Comercio</t>
        </is>
      </c>
      <c r="C2" s="53" t="inlineStr">
        <is>
          <t>Item</t>
        </is>
      </c>
      <c r="D2" s="53" t="inlineStr">
        <is>
          <t>Cantidad</t>
        </is>
      </c>
      <c r="E2" s="53" t="inlineStr">
        <is>
          <t>Precio</t>
        </is>
      </c>
      <c r="F2" s="53" t="inlineStr">
        <is>
          <t>Categoría</t>
        </is>
      </c>
      <c r="G2" s="53" t="inlineStr">
        <is>
          <t>Intención</t>
        </is>
      </c>
      <c r="H2" s="53" t="inlineStr">
        <is>
          <t>Predecible</t>
        </is>
      </c>
      <c r="I2" s="53" t="inlineStr">
        <is>
          <t>ID_Tx</t>
        </is>
      </c>
      <c r="J2" s="53" t="inlineStr">
        <is>
          <t>Fuente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5" min="1" max="1"/>
    <col width="16" customWidth="1" style="35" min="2" max="2"/>
  </cols>
  <sheetData>
    <row r="1" ht="16.15" customHeight="1" s="36">
      <c r="A1" s="59" t="inlineStr">
        <is>
          <t>💳 TARJETAS Y DEUDA — tu deuda REAL incluye la línea de crédito.</t>
        </is>
      </c>
    </row>
    <row r="3" ht="15" customHeight="1" s="36">
      <c r="A3" s="60" t="inlineStr">
        <is>
          <t>🔦 FARO DE DEUDA</t>
        </is>
      </c>
    </row>
    <row r="4" ht="15" customHeight="1" s="36">
      <c r="A4" s="61" t="inlineStr">
        <is>
          <t>DEUDA TOTAL REAL (tarjetas + línea)</t>
        </is>
      </c>
      <c r="B4" s="62">
        <f>B29+B40+B44</f>
        <v/>
      </c>
    </row>
    <row r="5" ht="15" customHeight="1" s="36">
      <c r="A5" s="61" t="inlineStr">
        <is>
          <t>INTERESES MUERTOS DEL MES</t>
        </is>
      </c>
      <c r="B5" s="62">
        <f>B25+B37+B45</f>
        <v/>
      </c>
    </row>
    <row r="6" ht="15" customHeight="1" s="36">
      <c r="A6" s="63" t="inlineStr">
        <is>
          <t>% Utilización total</t>
        </is>
      </c>
      <c r="B6" s="64">
        <f>(B29+B40+B44)/(B28+B39+B43)</f>
        <v/>
      </c>
    </row>
    <row r="7" ht="15" customHeight="1" s="36">
      <c r="A7" s="63" t="inlineStr">
        <is>
          <t>Semáforo</t>
        </is>
      </c>
      <c r="B7" s="63">
        <f>IF(B6&gt;0.7,"🔴 Alto",IF(B6&gt;0.3,"🟡 Medio","🟢 OK"))</f>
        <v/>
      </c>
    </row>
    <row r="8" ht="15" customHeight="1" s="36">
      <c r="A8" s="61" t="inlineStr">
        <is>
          <t>TOTAL A PAGAR ESTE MES</t>
        </is>
      </c>
      <c r="B8" s="65">
        <f>B27+B38+B45</f>
        <v/>
      </c>
    </row>
    <row r="9" ht="15" customHeight="1" s="36">
      <c r="A9" s="66" t="inlineStr">
        <is>
          <t>La línea + el rotativo es la fuga: pagas y la deuda no baja.</t>
        </is>
      </c>
    </row>
    <row r="19" ht="15" customHeight="1" s="36">
      <c r="A19" s="67" t="inlineStr">
        <is>
          <t>🏦 BANCO DE CHILE</t>
        </is>
      </c>
    </row>
    <row r="20" ht="15" customHeight="1" s="36">
      <c r="A20" s="63" t="inlineStr">
        <is>
          <t>Tasa mensual</t>
        </is>
      </c>
      <c r="B20" s="68" t="n">
        <v>0.0273</v>
      </c>
    </row>
    <row r="21" ht="15" customHeight="1" s="36">
      <c r="A21" s="63" t="inlineStr">
        <is>
          <t>Deuda rotativa actual</t>
        </is>
      </c>
      <c r="B21" s="69" t="n">
        <v>667993</v>
      </c>
    </row>
    <row r="22" ht="15" customHeight="1" s="36">
      <c r="A22" s="63" t="inlineStr">
        <is>
          <t>Pago este mes</t>
        </is>
      </c>
      <c r="B22" s="69" t="n">
        <v>50000</v>
      </c>
    </row>
    <row r="23" ht="15" customHeight="1" s="36">
      <c r="A23" s="63" t="inlineStr">
        <is>
          <t>Mantención mensual</t>
        </is>
      </c>
      <c r="B23" s="69" t="n">
        <v>6061</v>
      </c>
    </row>
    <row r="24" ht="15" customHeight="1" s="36">
      <c r="A24" s="63" t="inlineStr">
        <is>
          <t>Total cuotas del mes</t>
        </is>
      </c>
      <c r="B24" s="69" t="n">
        <v>65861</v>
      </c>
    </row>
    <row r="25" ht="15" customHeight="1" s="36">
      <c r="A25" s="63" t="inlineStr">
        <is>
          <t>→ Interés del mes</t>
        </is>
      </c>
      <c r="B25" s="70">
        <f>B20*B21</f>
        <v/>
      </c>
    </row>
    <row r="26" ht="15" customHeight="1" s="36">
      <c r="A26" s="63" t="inlineStr">
        <is>
          <t>→ Deuda rotativa próx. mes</t>
        </is>
      </c>
      <c r="B26" s="70">
        <f>MAX(0,B21+B25-B22)</f>
        <v/>
      </c>
    </row>
    <row r="27" ht="15" customHeight="1" s="36">
      <c r="A27" s="63" t="inlineStr">
        <is>
          <t>Total a pagar (BCh)</t>
        </is>
      </c>
      <c r="B27" s="65">
        <f>B24+B22+B23</f>
        <v/>
      </c>
    </row>
    <row r="28" ht="15" customHeight="1" s="36">
      <c r="A28" s="63" t="inlineStr">
        <is>
          <t>Cupo total</t>
        </is>
      </c>
      <c r="B28" s="69" t="n">
        <v>1000000</v>
      </c>
    </row>
    <row r="29" ht="15" customHeight="1" s="36">
      <c r="A29" s="63" t="inlineStr">
        <is>
          <t>Deuda total tarjeta (rotativo+cuotas pend.)</t>
        </is>
      </c>
      <c r="B29" s="69" t="n">
        <v>859437</v>
      </c>
    </row>
    <row r="31" ht="15" customHeight="1" s="36">
      <c r="A31" s="67" t="inlineStr">
        <is>
          <t>📱 MACH</t>
        </is>
      </c>
    </row>
    <row r="32" ht="15" customHeight="1" s="36">
      <c r="A32" s="63" t="inlineStr">
        <is>
          <t>Tasa mensual</t>
        </is>
      </c>
      <c r="B32" s="68" t="n">
        <v>0</v>
      </c>
    </row>
    <row r="33" ht="15" customHeight="1" s="36">
      <c r="A33" s="63" t="inlineStr">
        <is>
          <t>Deuda rotativa actual</t>
        </is>
      </c>
      <c r="B33" s="69" t="n">
        <v>0</v>
      </c>
    </row>
    <row r="34" ht="15" customHeight="1" s="36">
      <c r="A34" s="63" t="inlineStr">
        <is>
          <t>Pago este mes</t>
        </is>
      </c>
      <c r="B34" s="69" t="n">
        <v>0</v>
      </c>
    </row>
    <row r="35" ht="15" customHeight="1" s="36">
      <c r="A35" s="63" t="inlineStr">
        <is>
          <t>Mantención mensual</t>
        </is>
      </c>
      <c r="B35" s="69" t="n">
        <v>5257</v>
      </c>
    </row>
    <row r="36" ht="15" customHeight="1" s="36">
      <c r="A36" s="63" t="inlineStr">
        <is>
          <t>Total cuotas del mes</t>
        </is>
      </c>
      <c r="B36" s="69" t="n">
        <v>43114</v>
      </c>
    </row>
    <row r="37" ht="15" customHeight="1" s="36">
      <c r="A37" s="63" t="inlineStr">
        <is>
          <t>→ Interés del mes</t>
        </is>
      </c>
      <c r="B37" s="70">
        <f>B32*B33</f>
        <v/>
      </c>
    </row>
    <row r="38" ht="15" customHeight="1" s="36">
      <c r="A38" s="63" t="inlineStr">
        <is>
          <t>Total a pagar (Mach)</t>
        </is>
      </c>
      <c r="B38" s="65">
        <f>B36+B34+B35</f>
        <v/>
      </c>
    </row>
    <row r="39" ht="15" customHeight="1" s="36">
      <c r="A39" s="63" t="inlineStr">
        <is>
          <t>Cupo total</t>
        </is>
      </c>
      <c r="B39" s="69" t="n">
        <v>300000</v>
      </c>
    </row>
    <row r="40" ht="15" customHeight="1" s="36">
      <c r="A40" s="63" t="inlineStr">
        <is>
          <t>Deuda total tarjeta (rotativo+cuotas pend.)</t>
        </is>
      </c>
      <c r="B40" s="69" t="n">
        <v>168654</v>
      </c>
    </row>
    <row r="42" ht="15" customHeight="1" s="36">
      <c r="A42" s="67" t="inlineStr">
        <is>
          <t>🏦 LÍNEA DE CRÉDITO</t>
        </is>
      </c>
    </row>
    <row r="43" ht="15" customHeight="1" s="36">
      <c r="A43" s="63" t="inlineStr">
        <is>
          <t>Cupo total</t>
        </is>
      </c>
      <c r="B43" s="69" t="n">
        <v>1000000</v>
      </c>
    </row>
    <row r="44" ht="15" customHeight="1" s="36">
      <c r="A44" s="63" t="inlineStr">
        <is>
          <t>Monto utilizado</t>
        </is>
      </c>
      <c r="B44" s="69" t="n">
        <v>1000000</v>
      </c>
    </row>
    <row r="45" ht="15" customHeight="1" s="36">
      <c r="A45" s="63" t="inlineStr">
        <is>
          <t>Interés mensual que pagas</t>
        </is>
      </c>
      <c r="B45" s="69" t="n">
        <v>30000</v>
      </c>
    </row>
    <row r="46" ht="15" customHeight="1" s="36">
      <c r="A46" s="63" t="inlineStr">
        <is>
          <t>→ Tasa mensual implícita</t>
        </is>
      </c>
      <c r="B46" s="64">
        <f>IF(B44&gt;0,B45/B44,0)</f>
        <v/>
      </c>
    </row>
    <row r="47" ht="15" customHeight="1" s="36">
      <c r="A47" s="63" t="inlineStr">
        <is>
          <t>→ Disponible</t>
        </is>
      </c>
      <c r="B47" s="70">
        <f>B43-B44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5" min="1" max="1"/>
    <col width="14" customWidth="1" style="35" min="2" max="3"/>
    <col width="10" customWidth="1" style="35" min="4" max="4"/>
  </cols>
  <sheetData>
    <row r="1" ht="16.15" customHeight="1" s="36">
      <c r="A1" s="59" t="inlineStr">
        <is>
          <t>📈 DASHBOARD — del mes activo (ajusta Mes/Año abajo).</t>
        </is>
      </c>
    </row>
    <row r="2" ht="15" customHeight="1" s="36">
      <c r="D2" s="40" t="inlineStr">
        <is>
          <t>Mes activo</t>
        </is>
      </c>
      <c r="E2" s="47" t="n">
        <v>6</v>
      </c>
      <c r="F2" s="40" t="inlineStr">
        <is>
          <t>Año</t>
        </is>
      </c>
      <c r="G2" s="47" t="n">
        <v>2026</v>
      </c>
    </row>
    <row r="4" ht="15" customHeight="1" s="36">
      <c r="A4" s="40" t="inlineStr">
        <is>
          <t>Ingresos del mes</t>
        </is>
      </c>
      <c r="B4" s="56">
        <f>SUMIFS(Transacciones!F:F,Transacciones!B:B,"Ingreso",Transacciones!A:A,"&gt;="&amp;DATE($G$2,$E$2,1),Transacciones!A:A,"&lt;="&amp;EOMONTH(DATE($G$2,$E$2,1),0))</f>
        <v/>
      </c>
    </row>
    <row r="5" ht="15" customHeight="1" s="36">
      <c r="A5" s="40" t="inlineStr">
        <is>
          <t>Gastos del mes</t>
        </is>
      </c>
      <c r="B5" s="56">
        <f>SUMIFS(Transacciones!F:F,Transacciones!B:B,"Gasto",Transacciones!A:A,"&gt;="&amp;DATE($G$2,$E$2,1),Transacciones!A:A,"&lt;="&amp;EOMONTH(DATE($G$2,$E$2,1),0))</f>
        <v/>
      </c>
    </row>
    <row r="6" ht="15" customHeight="1" s="36">
      <c r="A6" s="40" t="inlineStr">
        <is>
          <t>Balance</t>
        </is>
      </c>
      <c r="B6" s="56">
        <f>B4-B5</f>
        <v/>
      </c>
    </row>
    <row r="7" ht="15" customHeight="1" s="36">
      <c r="A7" s="40" t="inlineStr">
        <is>
          <t>Tasa de ahorro</t>
        </is>
      </c>
      <c r="B7" s="71">
        <f>IF(B4&gt;0,B6/B4,"-")</f>
        <v/>
      </c>
    </row>
    <row r="8" ht="15" customHeight="1" s="36">
      <c r="A8" s="40" t="inlineStr">
        <is>
          <t>¿Llego a fin de mes?</t>
        </is>
      </c>
      <c r="B8" s="44">
        <f>IF(B6&gt;=0,"Te sobran $"&amp;TEXT(B6,"#,##0"),"Negativo por $"&amp;TEXT(-B6,"#,##0"))</f>
        <v/>
      </c>
    </row>
    <row r="10" ht="15" customHeight="1" s="36">
      <c r="A10" s="72" t="inlineStr">
        <is>
          <t>GASTO POR CATEGORÍA</t>
        </is>
      </c>
    </row>
    <row r="11" ht="15" customHeight="1" s="36">
      <c r="A11" s="72" t="inlineStr">
        <is>
          <t>Categoría</t>
        </is>
      </c>
      <c r="B11" s="72" t="inlineStr">
        <is>
          <t>Presupuesto</t>
        </is>
      </c>
      <c r="C11" s="72" t="inlineStr">
        <is>
          <t>Gastado</t>
        </is>
      </c>
      <c r="D11" s="72" t="inlineStr">
        <is>
          <t>% Usado</t>
        </is>
      </c>
    </row>
    <row r="12" ht="15" customHeight="1" s="36">
      <c r="A12" s="44">
        <f>Categorias!A3</f>
        <v/>
      </c>
      <c r="B12" s="56">
        <f>Categorias!C3</f>
        <v/>
      </c>
      <c r="C12" s="56">
        <f>SUMIFS(Transacciones!F:F,Transacciones!C:C,Categorias!A3,Transacciones!B:B,"Gasto",Transacciones!A:A,"&gt;="&amp;DATE($G$2,$E$2,1),Transacciones!A:A,"&lt;="&amp;EOMONTH(DATE($G$2,$E$2,1),0))</f>
        <v/>
      </c>
      <c r="D12" s="71">
        <f>IF(Categorias!C3&gt;0,C12/B12,"-")</f>
        <v/>
      </c>
    </row>
    <row r="13" ht="15" customHeight="1" s="36">
      <c r="A13" s="44">
        <f>Categorias!A4</f>
        <v/>
      </c>
      <c r="B13" s="56">
        <f>Categorias!C4</f>
        <v/>
      </c>
      <c r="C13" s="56">
        <f>SUMIFS(Transacciones!F:F,Transacciones!C:C,Categorias!A4,Transacciones!B:B,"Gasto",Transacciones!A:A,"&gt;="&amp;DATE($G$2,$E$2,1),Transacciones!A:A,"&lt;="&amp;EOMONTH(DATE($G$2,$E$2,1),0))</f>
        <v/>
      </c>
      <c r="D13" s="71">
        <f>IF(Categorias!C4&gt;0,C13/B13,"-")</f>
        <v/>
      </c>
    </row>
    <row r="14" ht="15" customHeight="1" s="36">
      <c r="A14" s="44">
        <f>Categorias!A5</f>
        <v/>
      </c>
      <c r="B14" s="56">
        <f>Categorias!C5</f>
        <v/>
      </c>
      <c r="C14" s="56">
        <f>SUMIFS(Transacciones!F:F,Transacciones!C:C,Categorias!A5,Transacciones!B:B,"Gasto",Transacciones!A:A,"&gt;="&amp;DATE($G$2,$E$2,1),Transacciones!A:A,"&lt;="&amp;EOMONTH(DATE($G$2,$E$2,1),0))</f>
        <v/>
      </c>
      <c r="D14" s="71">
        <f>IF(Categorias!C5&gt;0,C14/B14,"-")</f>
        <v/>
      </c>
    </row>
    <row r="15" ht="15" customHeight="1" s="36">
      <c r="A15" s="44">
        <f>Categorias!A6</f>
        <v/>
      </c>
      <c r="B15" s="56">
        <f>Categorias!C6</f>
        <v/>
      </c>
      <c r="C15" s="56">
        <f>SUMIFS(Transacciones!F:F,Transacciones!C:C,Categorias!A6,Transacciones!B:B,"Gasto",Transacciones!A:A,"&gt;="&amp;DATE($G$2,$E$2,1),Transacciones!A:A,"&lt;="&amp;EOMONTH(DATE($G$2,$E$2,1),0))</f>
        <v/>
      </c>
      <c r="D15" s="71">
        <f>IF(Categorias!C6&gt;0,C15/B15,"-")</f>
        <v/>
      </c>
    </row>
    <row r="16" ht="15" customHeight="1" s="36">
      <c r="A16" s="44">
        <f>Categorias!A7</f>
        <v/>
      </c>
      <c r="B16" s="56">
        <f>Categorias!C7</f>
        <v/>
      </c>
      <c r="C16" s="56">
        <f>SUMIFS(Transacciones!F:F,Transacciones!C:C,Categorias!A7,Transacciones!B:B,"Gasto",Transacciones!A:A,"&gt;="&amp;DATE($G$2,$E$2,1),Transacciones!A:A,"&lt;="&amp;EOMONTH(DATE($G$2,$E$2,1),0))</f>
        <v/>
      </c>
      <c r="D16" s="71">
        <f>IF(Categorias!C7&gt;0,C16/B16,"-")</f>
        <v/>
      </c>
    </row>
    <row r="17" ht="15" customHeight="1" s="36">
      <c r="A17" s="44">
        <f>Categorias!A8</f>
        <v/>
      </c>
      <c r="B17" s="56">
        <f>Categorias!C8</f>
        <v/>
      </c>
      <c r="C17" s="56">
        <f>SUMIFS(Transacciones!F:F,Transacciones!C:C,Categorias!A8,Transacciones!B:B,"Gasto",Transacciones!A:A,"&gt;="&amp;DATE($G$2,$E$2,1),Transacciones!A:A,"&lt;="&amp;EOMONTH(DATE($G$2,$E$2,1),0))</f>
        <v/>
      </c>
      <c r="D17" s="71">
        <f>IF(Categorias!C8&gt;0,C17/B17,"-")</f>
        <v/>
      </c>
    </row>
    <row r="18" ht="15" customHeight="1" s="36">
      <c r="A18" s="44">
        <f>Categorias!A9</f>
        <v/>
      </c>
      <c r="B18" s="56">
        <f>Categorias!C9</f>
        <v/>
      </c>
      <c r="C18" s="56">
        <f>SUMIFS(Transacciones!F:F,Transacciones!C:C,Categorias!A9,Transacciones!B:B,"Gasto",Transacciones!A:A,"&gt;="&amp;DATE($G$2,$E$2,1),Transacciones!A:A,"&lt;="&amp;EOMONTH(DATE($G$2,$E$2,1),0))</f>
        <v/>
      </c>
      <c r="D18" s="71">
        <f>IF(Categorias!C9&gt;0,C18/B18,"-")</f>
        <v/>
      </c>
    </row>
    <row r="19" ht="15" customHeight="1" s="36">
      <c r="A19" s="44">
        <f>Categorias!A10</f>
        <v/>
      </c>
      <c r="B19" s="56">
        <f>Categorias!C10</f>
        <v/>
      </c>
      <c r="C19" s="56">
        <f>SUMIFS(Transacciones!F:F,Transacciones!C:C,Categorias!A10,Transacciones!B:B,"Gasto",Transacciones!A:A,"&gt;="&amp;DATE($G$2,$E$2,1),Transacciones!A:A,"&lt;="&amp;EOMONTH(DATE($G$2,$E$2,1),0))</f>
        <v/>
      </c>
      <c r="D19" s="71">
        <f>IF(Categorias!C10&gt;0,C19/B19,"-")</f>
        <v/>
      </c>
    </row>
    <row r="20" ht="15" customHeight="1" s="36">
      <c r="A20" s="44">
        <f>Categorias!A11</f>
        <v/>
      </c>
      <c r="B20" s="56">
        <f>Categorias!C11</f>
        <v/>
      </c>
      <c r="C20" s="56">
        <f>SUMIFS(Transacciones!F:F,Transacciones!C:C,Categorias!A11,Transacciones!B:B,"Gasto",Transacciones!A:A,"&gt;="&amp;DATE($G$2,$E$2,1),Transacciones!A:A,"&lt;="&amp;EOMONTH(DATE($G$2,$E$2,1),0))</f>
        <v/>
      </c>
      <c r="D20" s="71">
        <f>IF(Categorias!C11&gt;0,C20/B20,"-")</f>
        <v/>
      </c>
    </row>
    <row r="21" ht="15" customHeight="1" s="36">
      <c r="A21" s="44">
        <f>Categorias!A12</f>
        <v/>
      </c>
      <c r="B21" s="56">
        <f>Categorias!C12</f>
        <v/>
      </c>
      <c r="C21" s="56">
        <f>SUMIFS(Transacciones!F:F,Transacciones!C:C,Categorias!A12,Transacciones!B:B,"Gasto",Transacciones!A:A,"&gt;="&amp;DATE($G$2,$E$2,1),Transacciones!A:A,"&lt;="&amp;EOMONTH(DATE($G$2,$E$2,1),0))</f>
        <v/>
      </c>
      <c r="D21" s="71">
        <f>IF(Categorias!C12&gt;0,C21/B21,"-")</f>
        <v/>
      </c>
    </row>
    <row r="22" ht="15" customHeight="1" s="36">
      <c r="A22" s="44">
        <f>Categorias!A13</f>
        <v/>
      </c>
      <c r="B22" s="56">
        <f>Categorias!C13</f>
        <v/>
      </c>
      <c r="C22" s="56">
        <f>SUMIFS(Transacciones!F:F,Transacciones!C:C,Categorias!A13,Transacciones!B:B,"Gasto",Transacciones!A:A,"&gt;="&amp;DATE($G$2,$E$2,1),Transacciones!A:A,"&lt;="&amp;EOMONTH(DATE($G$2,$E$2,1),0))</f>
        <v/>
      </c>
      <c r="D22" s="71">
        <f>IF(Categorias!C13&gt;0,C22/B22,"-")</f>
        <v/>
      </c>
    </row>
    <row r="23" ht="15" customHeight="1" s="36">
      <c r="A23" s="44">
        <f>Categorias!A14</f>
        <v/>
      </c>
      <c r="B23" s="56">
        <f>Categorias!C14</f>
        <v/>
      </c>
      <c r="C23" s="56">
        <f>SUMIFS(Transacciones!F:F,Transacciones!C:C,Categorias!A14,Transacciones!B:B,"Gasto",Transacciones!A:A,"&gt;="&amp;DATE($G$2,$E$2,1),Transacciones!A:A,"&lt;="&amp;EOMONTH(DATE($G$2,$E$2,1),0))</f>
        <v/>
      </c>
      <c r="D23" s="71">
        <f>IF(Categorias!C14&gt;0,C23/B23,"-")</f>
        <v/>
      </c>
    </row>
    <row r="24" ht="15" customHeight="1" s="36">
      <c r="A24" s="44">
        <f>Categorias!A15</f>
        <v/>
      </c>
      <c r="B24" s="56">
        <f>Categorias!C15</f>
        <v/>
      </c>
      <c r="C24" s="56">
        <f>SUMIFS(Transacciones!F:F,Transacciones!C:C,Categorias!A15,Transacciones!B:B,"Gasto",Transacciones!A:A,"&gt;="&amp;DATE($G$2,$E$2,1),Transacciones!A:A,"&lt;="&amp;EOMONTH(DATE($G$2,$E$2,1),0))</f>
        <v/>
      </c>
      <c r="D24" s="71">
        <f>IF(Categorias!C15&gt;0,C24/B24,"-")</f>
        <v/>
      </c>
    </row>
    <row r="25" ht="15" customHeight="1" s="36">
      <c r="A25" s="44">
        <f>Categorias!A16</f>
        <v/>
      </c>
      <c r="B25" s="56">
        <f>Categorias!C16</f>
        <v/>
      </c>
      <c r="C25" s="56">
        <f>SUMIFS(Transacciones!F:F,Transacciones!C:C,Categorias!A16,Transacciones!B:B,"Gasto",Transacciones!A:A,"&gt;="&amp;DATE($G$2,$E$2,1),Transacciones!A:A,"&lt;="&amp;EOMONTH(DATE($G$2,$E$2,1),0))</f>
        <v/>
      </c>
      <c r="D25" s="71">
        <f>IF(Categorias!C16&gt;0,C25/B25,"-")</f>
        <v/>
      </c>
    </row>
    <row r="26" ht="15" customHeight="1" s="36">
      <c r="A26" s="44">
        <f>Categorias!A17</f>
        <v/>
      </c>
      <c r="B26" s="56">
        <f>Categorias!C17</f>
        <v/>
      </c>
      <c r="C26" s="56">
        <f>SUMIFS(Transacciones!F:F,Transacciones!C:C,Categorias!A17,Transacciones!B:B,"Gasto",Transacciones!A:A,"&gt;="&amp;DATE($G$2,$E$2,1),Transacciones!A:A,"&lt;="&amp;EOMONTH(DATE($G$2,$E$2,1),0))</f>
        <v/>
      </c>
      <c r="D26" s="71">
        <f>IF(Categorias!C17&gt;0,C26/B26,"-")</f>
        <v/>
      </c>
    </row>
    <row r="27" ht="15" customHeight="1" s="36">
      <c r="A27" s="44">
        <f>Categorias!A18</f>
        <v/>
      </c>
      <c r="B27" s="56">
        <f>Categorias!C18</f>
        <v/>
      </c>
      <c r="C27" s="56">
        <f>SUMIFS(Transacciones!F:F,Transacciones!C:C,Categorias!A18,Transacciones!B:B,"Gasto",Transacciones!A:A,"&gt;="&amp;DATE($G$2,$E$2,1),Transacciones!A:A,"&lt;="&amp;EOMONTH(DATE($G$2,$E$2,1),0))</f>
        <v/>
      </c>
      <c r="D27" s="71">
        <f>IF(Categorias!C18&gt;0,C27/B27,"-")</f>
        <v/>
      </c>
    </row>
    <row r="28" ht="15" customHeight="1" s="36">
      <c r="A28" s="44">
        <f>Categorias!A19</f>
        <v/>
      </c>
      <c r="B28" s="56">
        <f>Categorias!C19</f>
        <v/>
      </c>
      <c r="C28" s="56">
        <f>SUMIFS(Transacciones!F:F,Transacciones!C:C,Categorias!A19,Transacciones!B:B,"Gasto",Transacciones!A:A,"&gt;="&amp;DATE($G$2,$E$2,1),Transacciones!A:A,"&lt;="&amp;EOMONTH(DATE($G$2,$E$2,1),0))</f>
        <v/>
      </c>
      <c r="D28" s="71">
        <f>IF(Categorias!C19&gt;0,C28/B28,"-")</f>
        <v/>
      </c>
    </row>
    <row r="29" ht="15" customHeight="1" s="36">
      <c r="A29" s="44">
        <f>Categorias!A20</f>
        <v/>
      </c>
      <c r="B29" s="56">
        <f>Categorias!C20</f>
        <v/>
      </c>
      <c r="C29" s="56">
        <f>SUMIFS(Transacciones!F:F,Transacciones!C:C,Categorias!A20,Transacciones!B:B,"Gasto",Transacciones!A:A,"&gt;="&amp;DATE($G$2,$E$2,1),Transacciones!A:A,"&lt;="&amp;EOMONTH(DATE($G$2,$E$2,1),0))</f>
        <v/>
      </c>
      <c r="D29" s="71">
        <f>IF(Categorias!C20&gt;0,C29/B29,"-")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5" min="1" max="1"/>
    <col width="14" customWidth="1" style="35" min="2" max="3"/>
    <col width="12" customWidth="1" style="35" min="4" max="4"/>
  </cols>
  <sheetData>
    <row r="1" ht="16.15" customHeight="1" s="36">
      <c r="A1" s="59" t="inlineStr">
        <is>
          <t>🔁 COMPARATIVO — mes activo vs. anterior.</t>
        </is>
      </c>
    </row>
    <row r="2" ht="15" customHeight="1" s="36">
      <c r="A2" s="72" t="inlineStr">
        <is>
          <t>Concepto</t>
        </is>
      </c>
      <c r="B2" s="72" t="inlineStr">
        <is>
          <t>Mes activo</t>
        </is>
      </c>
      <c r="C2" s="72" t="inlineStr">
        <is>
          <t>Mes anterior</t>
        </is>
      </c>
      <c r="D2" s="72" t="inlineStr">
        <is>
          <t>Variación</t>
        </is>
      </c>
    </row>
    <row r="3" ht="15" customHeight="1" s="36">
      <c r="A3" s="40" t="inlineStr">
        <is>
          <t>Ingresos</t>
        </is>
      </c>
      <c r="B3" s="56">
        <f>SUMIFS(Transacciones!F:F,Transacciones!B:B,"Ingreso",Transacciones!A:A,"&gt;="&amp;DATE(Dashboard!$G$2,Dashboard!$E$2,1),Transacciones!A:A,"&lt;="&amp;EOMONTH(DATE(Dashboard!$G$2,Dashboard!$E$2,1),0))</f>
        <v/>
      </c>
      <c r="C3" s="56">
        <f>SUMIFS(Transacciones!F:F,Transacciones!B:B,"Ingreso",Transacciones!A:A,"&gt;="&amp;EOMONTH(DATE(Dashboard!$G$2,Dashboard!$E$2,1),-2)+1,Transacciones!A:A,"&lt;="&amp;EOMONTH(DATE(Dashboard!$G$2,Dashboard!$E$2,1),-1))</f>
        <v/>
      </c>
      <c r="D3" s="71">
        <f>IF(C3&gt;0,(B3-C3)/C3,"-")</f>
        <v/>
      </c>
    </row>
    <row r="4" ht="15" customHeight="1" s="36">
      <c r="A4" s="40" t="inlineStr">
        <is>
          <t>Gastos</t>
        </is>
      </c>
      <c r="B4" s="56">
        <f>SUMIFS(Transacciones!F:F,Transacciones!B:B,"Gasto",Transacciones!A:A,"&gt;="&amp;DATE(Dashboard!$G$2,Dashboard!$E$2,1),Transacciones!A:A,"&lt;="&amp;EOMONTH(DATE(Dashboard!$G$2,Dashboard!$E$2,1),0))</f>
        <v/>
      </c>
      <c r="C4" s="56">
        <f>SUMIFS(Transacciones!F:F,Transacciones!B:B,"Gasto",Transacciones!A:A,"&gt;="&amp;EOMONTH(DATE(Dashboard!$G$2,Dashboard!$E$2,1),-2)+1,Transacciones!A:A,"&lt;="&amp;EOMONTH(DATE(Dashboard!$G$2,Dashboard!$E$2,1),-1))</f>
        <v/>
      </c>
      <c r="D4" s="71">
        <f>IF(C4&gt;0,(B4-C4)/C4,"-")</f>
        <v/>
      </c>
    </row>
    <row r="5" ht="15" customHeight="1" s="36">
      <c r="A5" s="40" t="inlineStr">
        <is>
          <t>Balance</t>
        </is>
      </c>
      <c r="B5" s="56">
        <f>B3-B4</f>
        <v/>
      </c>
      <c r="C5" s="56">
        <f>C3-C4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2026-06-19T16:39:01Z</dcterms:created>
  <dcterms:modified xsi:type="dcterms:W3CDTF">2026-06-27T20:10:51Z</dcterms:modified>
  <cp:revision>0</cp:revision>
</cp:coreProperties>
</file>