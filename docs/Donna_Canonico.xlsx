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📖 Léeme" sheetId="1" state="visible" r:id="rId3"/>
    <sheet name="Diario" sheetId="2" state="visible" r:id="rId4"/>
    <sheet name="Tareas" sheetId="3" state="visible" r:id="rId5"/>
    <sheet name="Proyectos" sheetId="4" state="visible" r:id="rId6"/>
    <sheet name="Recordatorios" sheetId="5" state="visible" r:id="rId7"/>
    <sheet name="Reconciliacion" sheetId="6" state="visible" r:id="rId8"/>
    <sheet name="Semanal" sheetId="7" state="visible" r:id="rId9"/>
    <sheet name="⚙️ Config" sheetId="8" state="visible" r:id="rId10"/>
    <sheet name="Transacciones" sheetId="9" state="visible" r:id="rId11"/>
    <sheet name="Categorias" sheetId="10" state="visible" r:id="rId12"/>
    <sheet name="Tarjetas y Deuda" sheetId="11" state="visible" r:id="rId13"/>
    <sheet name="Dashboard" sheetId="12" state="visible" r:id="rId14"/>
    <sheet name="Comparativo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<sst xmlns="http://schemas.openxmlformats.org/spreadsheetml/2006/main" count="391" uniqueCount="297">
  <si>
    <t xml:space="preserve">📗 DONNA — Planilla canónica (Vida + Finanzas unificadas)</t>
  </si>
  <si>
    <t xml:space="preserve">LA REGLA DE ORO</t>
  </si>
  <si>
    <t xml:space="preserve">Esta planilla NO se llena a mano. Donna escribe aquí; tú solo la miras.</t>
  </si>
  <si>
    <t xml:space="preserve">Tu interfaz es Telegram</t>
  </si>
  <si>
    <t xml:space="preserve">Brief 8:00 (solo lectura) + Cierre 22:00 (toques). Revisión los domingos.</t>
  </si>
  <si>
    <t xml:space="preserve">HOJAS DE VIDA</t>
  </si>
  <si>
    <t xml:space="preserve">Diario</t>
  </si>
  <si>
    <t xml:space="preserve">1 fila/día: hábitos, ánimo (1-4), sueño, MITs. Nace vacía y crece con tu racha.</t>
  </si>
  <si>
    <t xml:space="preserve">Tareas</t>
  </si>
  <si>
    <t xml:space="preserve">Tareas sueltas y MITs. Por chat: 'tarea: ...'.</t>
  </si>
  <si>
    <t xml:space="preserve">Proyectos</t>
  </si>
  <si>
    <t xml:space="preserve">Tus 5 frentes. Esto SÍ lo editas tú (celdas amarillas).</t>
  </si>
  <si>
    <t xml:space="preserve">Recordatorios</t>
  </si>
  <si>
    <t xml:space="preserve">Escalera: domingo + 2 días antes + el día + insiste si vence. Estado: pendiente/hecho/pospuesto.</t>
  </si>
  <si>
    <t xml:space="preserve">Reconciliacion</t>
  </si>
  <si>
    <t xml:space="preserve">Plan vs. real: cada noche marcas qué hiciste y si tomó más/igual/menos. La escribe el bot con tus toques.</t>
  </si>
  <si>
    <t xml:space="preserve">Semanal</t>
  </si>
  <si>
    <t xml:space="preserve">Resumen del domingo: rachas, ánimo, gasto y TIEMPO POR FRENTE + tu factor de optimismo. Solo lectura.</t>
  </si>
  <si>
    <t xml:space="preserve">Ideas</t>
  </si>
  <si>
    <t xml:space="preserve">Captura por chat: 'idea: ...'. Se revisan el domingo.</t>
  </si>
  <si>
    <t xml:space="preserve">⚙️ Config</t>
  </si>
  <si>
    <t xml:space="preserve">Horas, hábitos, módulos activos y tus frentes. Editable.</t>
  </si>
  <si>
    <t xml:space="preserve">HOJAS DE FINANZAS</t>
  </si>
  <si>
    <t xml:space="preserve">Transacciones</t>
  </si>
  <si>
    <t xml:space="preserve">Base de datos del dinero. El bot escribe aquí tras tu visto bueno en el digest.</t>
  </si>
  <si>
    <t xml:space="preserve">Categorias</t>
  </si>
  <si>
    <t xml:space="preserve">Única fuente de presupuestos. Agrega categorías cuando quieras.</t>
  </si>
  <si>
    <t xml:space="preserve">Tarjetas y Deuda</t>
  </si>
  <si>
    <t xml:space="preserve">El faro: tu DEUDA REAL incluye la línea de crédito. Intereses muertos = lo que pagas y no baja.</t>
  </si>
  <si>
    <t xml:space="preserve">Dashboard</t>
  </si>
  <si>
    <t xml:space="preserve">De un vistazo: ingresos, gastos, balance, tasa de ahorro, gasto por categoría.</t>
  </si>
  <si>
    <t xml:space="preserve">Comparativo</t>
  </si>
  <si>
    <t xml:space="preserve">Este mes vs. el anterior.</t>
  </si>
  <si>
    <t xml:space="preserve">CÓDIGO DE COLORES</t>
  </si>
  <si>
    <t xml:space="preserve">Amarillo</t>
  </si>
  <si>
    <t xml:space="preserve">Lo editas tú (Config, Proyectos, inputs de tarjetas).</t>
  </si>
  <si>
    <t xml:space="preserve">Encabezado verde</t>
  </si>
  <si>
    <t xml:space="preserve">Hojas de vida. Encabezado azul: finanzas.</t>
  </si>
  <si>
    <t xml:space="preserve">Todo lo demás</t>
  </si>
  <si>
    <t xml:space="preserve">Lo escribe o calcula el bot — no lo toques.</t>
  </si>
  <si>
    <t xml:space="preserve">NOTA DE MIGRACIÓN</t>
  </si>
  <si>
    <t xml:space="preserve">Recordatorios y proyectos vienen de Vida_v6 al nuevo esquema; verifica que estén tus 9 recordatorios. Las filas de Transacciones son ejemplos borrables.</t>
  </si>
  <si>
    <t xml:space="preserve">🌙 DIARIO — 1 fila/día (la escribe el bot en el cierre). Ánimo: 1=😫 2=😐 3=🙂 4=🔥</t>
  </si>
  <si>
    <t xml:space="preserve">Fecha</t>
  </si>
  <si>
    <t xml:space="preserve">Ejercicio</t>
  </si>
  <si>
    <t xml:space="preserve">Meditación</t>
  </si>
  <si>
    <t xml:space="preserve">Última comida</t>
  </si>
  <si>
    <t xml:space="preserve">Sueño 7h+</t>
  </si>
  <si>
    <t xml:space="preserve">Ánimo (1-4)</t>
  </si>
  <si>
    <t xml:space="preserve">Hora dormí</t>
  </si>
  <si>
    <t xml:space="preserve">MITs de mañana</t>
  </si>
  <si>
    <t xml:space="preserve">Brief ✓</t>
  </si>
  <si>
    <t xml:space="preserve">Cierre ✓</t>
  </si>
  <si>
    <t xml:space="preserve">Excepción</t>
  </si>
  <si>
    <t xml:space="preserve">Notas</t>
  </si>
  <si>
    <t xml:space="preserve">✅ TAREAS — sueltas y MITs. Por chat: 'tarea: ...'</t>
  </si>
  <si>
    <t xml:space="preserve">Creada</t>
  </si>
  <si>
    <t xml:space="preserve">Descripción</t>
  </si>
  <si>
    <t xml:space="preserve">Proyecto</t>
  </si>
  <si>
    <t xml:space="preserve">Tipo</t>
  </si>
  <si>
    <t xml:space="preserve">Fecha objetivo</t>
  </si>
  <si>
    <t xml:space="preserve">Estado</t>
  </si>
  <si>
    <t xml:space="preserve">Completada</t>
  </si>
  <si>
    <t xml:space="preserve">Agendar revisión técnica camioneta (ejemplo real, ¡hazla!)</t>
  </si>
  <si>
    <t xml:space="preserve">—</t>
  </si>
  <si>
    <t xml:space="preserve">Tarea</t>
  </si>
  <si>
    <t xml:space="preserve">Pendiente</t>
  </si>
  <si>
    <t xml:space="preserve">Vence en junio ⚠️</t>
  </si>
  <si>
    <t xml:space="preserve">🚀 PROYECTOS — tus frentes. Editas tú (amarillo); el bot marca avance.</t>
  </si>
  <si>
    <t xml:space="preserve">Foco actual</t>
  </si>
  <si>
    <t xml:space="preserve">Próxima acción</t>
  </si>
  <si>
    <t xml:space="preserve">% Avance</t>
  </si>
  <si>
    <t xml:space="preserve">Última act.</t>
  </si>
  <si>
    <t xml:space="preserve">Tesis</t>
  </si>
  <si>
    <t xml:space="preserve">Activo</t>
  </si>
  <si>
    <t xml:space="preserve">Pruebas de laboratorio + escritura</t>
  </si>
  <si>
    <t xml:space="preserve">(define tu próxima acción)</t>
  </si>
  <si>
    <t xml:space="preserve">Prioridad #4 según tu ranking</t>
  </si>
  <si>
    <t xml:space="preserve">Noomi Cookies</t>
  </si>
  <si>
    <t xml:space="preserve">Operación del emprendimiento</t>
  </si>
  <si>
    <t xml:space="preserve">Monetizar Noomi</t>
  </si>
  <si>
    <t xml:space="preserve">Vender Excel ERP + Bot a pastelerías</t>
  </si>
  <si>
    <t xml:space="preserve">Prioridad #3</t>
  </si>
  <si>
    <t xml:space="preserve">Delivery</t>
  </si>
  <si>
    <t xml:space="preserve">Ingresos fin de semana (Uber Eats)</t>
  </si>
  <si>
    <t xml:space="preserve">Meta $50k/semana</t>
  </si>
  <si>
    <t xml:space="preserve">Sistema Personal</t>
  </si>
  <si>
    <t xml:space="preserve">Construcción bot Donna</t>
  </si>
  <si>
    <t xml:space="preserve">Deploy Fase 1 en Railway</t>
  </si>
  <si>
    <t xml:space="preserve">F0 completada</t>
  </si>
  <si>
    <t xml:space="preserve">🔔 RECORDATORIOS — escalera: domingo + T-2 + T-0 + insiste si vence.</t>
  </si>
  <si>
    <t xml:space="preserve">Recordatorio</t>
  </si>
  <si>
    <t xml:space="preserve">Día / Fecha</t>
  </si>
  <si>
    <t xml:space="preserve">Monto aprox</t>
  </si>
  <si>
    <t xml:space="preserve">Posposiciones</t>
  </si>
  <si>
    <t xml:space="preserve">Última acción</t>
  </si>
  <si>
    <t xml:space="preserve">Pago contadora</t>
  </si>
  <si>
    <t xml:space="preserve">Mensual</t>
  </si>
  <si>
    <t xml:space="preserve">1</t>
  </si>
  <si>
    <t xml:space="preserve">Sí</t>
  </si>
  <si>
    <t xml:space="preserve">Pago IVA</t>
  </si>
  <si>
    <t xml:space="preserve">Cumple mes pareja 💕</t>
  </si>
  <si>
    <t xml:space="preserve">2</t>
  </si>
  <si>
    <t xml:space="preserve">Pago luz</t>
  </si>
  <si>
    <t xml:space="preserve">10</t>
  </si>
  <si>
    <t xml:space="preserve">Pago niñera</t>
  </si>
  <si>
    <t xml:space="preserve">Aniversario pareja 💍</t>
  </si>
  <si>
    <t xml:space="preserve">Anual</t>
  </si>
  <si>
    <t xml:space="preserve">2026-05-02</t>
  </si>
  <si>
    <t xml:space="preserve">Cumpleaños pareja 🎂</t>
  </si>
  <si>
    <t xml:space="preserve">2026-05-26</t>
  </si>
  <si>
    <t xml:space="preserve">Revisión técnica camioneta</t>
  </si>
  <si>
    <t xml:space="preserve">Única</t>
  </si>
  <si>
    <t xml:space="preserve">2026-06-30</t>
  </si>
  <si>
    <t xml:space="preserve">(verifica tu 9° recordatorio de Vida_v6)</t>
  </si>
  <si>
    <t xml:space="preserve">⏱️ RECONCILIACIÓN — plan vs. real (la escribe el bot en el cierre con tus toques).</t>
  </si>
  <si>
    <t xml:space="preserve">Bloque / Evento</t>
  </si>
  <si>
    <t xml:space="preserve">Frente</t>
  </si>
  <si>
    <t xml:space="preserve">Min planeados</t>
  </si>
  <si>
    <t xml:space="preserve">¿Hecho?</t>
  </si>
  <si>
    <t xml:space="preserve">Delta</t>
  </si>
  <si>
    <t xml:space="preserve">Min reales</t>
  </si>
  <si>
    <t xml:space="preserve">Frente ∈ {Tesis, Noomi, Delivery, Hijo, Personal}. Delta ∈ {Menos, Igual, Más}. Alimenta el tiempo-por-frente del Semanal y el factor de optimismo.</t>
  </si>
  <si>
    <t xml:space="preserve">📊 SEMANAL — lo genera el bot el domingo. Solo lectura.</t>
  </si>
  <si>
    <t xml:space="preserve">Semana (lunes)</t>
  </si>
  <si>
    <t xml:space="preserve">Cierres /7</t>
  </si>
  <si>
    <t xml:space="preserve">Briefs /7</t>
  </si>
  <si>
    <t xml:space="preserve">🏃 /7</t>
  </si>
  <si>
    <t xml:space="preserve">🧘 /7</t>
  </si>
  <si>
    <t xml:space="preserve">😴 /7</t>
  </si>
  <si>
    <t xml:space="preserve">Ayuno /7</t>
  </si>
  <si>
    <t xml:space="preserve">Ánimo prom</t>
  </si>
  <si>
    <t xml:space="preserve">Gasto semana</t>
  </si>
  <si>
    <t xml:space="preserve">h Tesis</t>
  </si>
  <si>
    <t xml:space="preserve">h Noomi</t>
  </si>
  <si>
    <t xml:space="preserve">h Delivery</t>
  </si>
  <si>
    <t xml:space="preserve">h Hijo</t>
  </si>
  <si>
    <t xml:space="preserve">Factor optimismo</t>
  </si>
  <si>
    <t xml:space="preserve">Meta semana</t>
  </si>
  <si>
    <t xml:space="preserve">¿Cumplida?</t>
  </si>
  <si>
    <t xml:space="preserve">👶 Tiempo hijo</t>
  </si>
  <si>
    <t xml:space="preserve">⚙️ CONFIGURACIÓN — el bot lee esto al arrancar. Amarillo = editable.</t>
  </si>
  <si>
    <t xml:space="preserve">Parámetro</t>
  </si>
  <si>
    <t xml:space="preserve">Valor</t>
  </si>
  <si>
    <t xml:space="preserve">Nota</t>
  </si>
  <si>
    <t xml:space="preserve">Hora del brief</t>
  </si>
  <si>
    <t xml:space="preserve">08:00</t>
  </si>
  <si>
    <t xml:space="preserve">Arranque del día, solo lectura</t>
  </si>
  <si>
    <t xml:space="preserve">Hora del cierre</t>
  </si>
  <si>
    <t xml:space="preserve">22:00</t>
  </si>
  <si>
    <t xml:space="preserve">Ancla para estar en cama a las 23:00</t>
  </si>
  <si>
    <t xml:space="preserve">Día de revisión semanal</t>
  </si>
  <si>
    <t xml:space="preserve">Domingo</t>
  </si>
  <si>
    <t xml:space="preserve">El cierre se extiende con el resumen</t>
  </si>
  <si>
    <t xml:space="preserve">Hábitos del cierre</t>
  </si>
  <si>
    <t xml:space="preserve">Ejercicio, Meditación, Última comida</t>
  </si>
  <si>
    <t xml:space="preserve">Botones a las 22:00</t>
  </si>
  <si>
    <t xml:space="preserve">Hábito del brief</t>
  </si>
  <si>
    <t xml:space="preserve">Se pregunta a las 8:00</t>
  </si>
  <si>
    <t xml:space="preserve">Meta hora de dormir</t>
  </si>
  <si>
    <t xml:space="preserve">23:00</t>
  </si>
  <si>
    <t xml:space="preserve">Tu objetivo (hoy ~1:00)</t>
  </si>
  <si>
    <t xml:space="preserve">Telegram Chat ID</t>
  </si>
  <si>
    <t xml:space="preserve">(llenar)</t>
  </si>
  <si>
    <t xml:space="preserve">El bot solo te responde a ti</t>
  </si>
  <si>
    <t xml:space="preserve">Mes activo</t>
  </si>
  <si>
    <t xml:space="preserve">1-12. Filtra Dashboard y Comparativo</t>
  </si>
  <si>
    <t xml:space="preserve">Año activo</t>
  </si>
  <si>
    <t xml:space="preserve">AAAA</t>
  </si>
  <si>
    <t xml:space="preserve">Frentes (reconciliación)</t>
  </si>
  <si>
    <t xml:space="preserve">Tesis, Noomi, Delivery, Hijo, Personal</t>
  </si>
  <si>
    <t xml:space="preserve">Categorías de tiempo</t>
  </si>
  <si>
    <t xml:space="preserve">Módulo Aprendizaje</t>
  </si>
  <si>
    <t xml:space="preserve">ON</t>
  </si>
  <si>
    <t xml:space="preserve">Calibra inferencias + factor de optimismo</t>
  </si>
  <si>
    <t xml:space="preserve">Módulo Proactividad</t>
  </si>
  <si>
    <t xml:space="preserve">Máx 1 mensaje espontáneo/día (12:00)</t>
  </si>
  <si>
    <t xml:space="preserve">Módulo Tiempo (log diario)</t>
  </si>
  <si>
    <t xml:space="preserve">OFF</t>
  </si>
  <si>
    <t xml:space="preserve">Dormido. Se promueve si el sistema lleva semanas vivo</t>
  </si>
  <si>
    <t xml:space="preserve">Correo Outlook</t>
  </si>
  <si>
    <t xml:space="preserve">Descartado: tu banco va a Gmail / correo dedicado</t>
  </si>
  <si>
    <t xml:space="preserve">Correo: spam</t>
  </si>
  <si>
    <t xml:space="preserve">Archivar (etiqueta Donna/Archivado)</t>
  </si>
  <si>
    <t xml:space="preserve">JAMÁS borra — solo etiqueta, recuperable</t>
  </si>
  <si>
    <t xml:space="preserve">Correo: triage</t>
  </si>
  <si>
    <t xml:space="preserve">3 buckets (spam/importante/financiero)</t>
  </si>
  <si>
    <t xml:space="preserve">Importantes → resumen brief; financieros → digest</t>
  </si>
  <si>
    <t xml:space="preserve">💰 TRANSACCIONES — base del dinero. El bot escribe aquí tras tu visto bueno.</t>
  </si>
  <si>
    <t xml:space="preserve">Categoría</t>
  </si>
  <si>
    <t xml:space="preserve">Subcategoría</t>
  </si>
  <si>
    <t xml:space="preserve">Comercio</t>
  </si>
  <si>
    <t xml:space="preserve">Monto</t>
  </si>
  <si>
    <t xml:space="preserve">Medio</t>
  </si>
  <si>
    <t xml:space="preserve">Fuente</t>
  </si>
  <si>
    <t xml:space="preserve">ID_Único</t>
  </si>
  <si>
    <t xml:space="preserve">Gasto</t>
  </si>
  <si>
    <t xml:space="preserve">Alimentación</t>
  </si>
  <si>
    <t xml:space="preserve">Supermercado</t>
  </si>
  <si>
    <t xml:space="preserve">Unimarc Las Condes</t>
  </si>
  <si>
    <t xml:space="preserve">Banco de Chile</t>
  </si>
  <si>
    <t xml:space="preserve">email_auto</t>
  </si>
  <si>
    <t xml:space="preserve">2026-06-01_38500_Unimarc</t>
  </si>
  <si>
    <t xml:space="preserve">Transporte</t>
  </si>
  <si>
    <t xml:space="preserve">Taxi/Uber</t>
  </si>
  <si>
    <t xml:space="preserve">Uber al centro</t>
  </si>
  <si>
    <t xml:space="preserve">Mach</t>
  </si>
  <si>
    <t xml:space="preserve">manual</t>
  </si>
  <si>
    <t xml:space="preserve">2026-06-01_4200_Uber</t>
  </si>
  <si>
    <t xml:space="preserve">Salud</t>
  </si>
  <si>
    <t xml:space="preserve">Farmacia</t>
  </si>
  <si>
    <t xml:space="preserve">Cruz Verde</t>
  </si>
  <si>
    <t xml:space="preserve">foto</t>
  </si>
  <si>
    <t xml:space="preserve">2026-06-02_12990_CruzVerde</t>
  </si>
  <si>
    <t xml:space="preserve">Ingreso</t>
  </si>
  <si>
    <t xml:space="preserve">Freelance</t>
  </si>
  <si>
    <t xml:space="preserve">Pago cliente web</t>
  </si>
  <si>
    <t xml:space="preserve">2026-06-05_350000_Pago</t>
  </si>
  <si>
    <t xml:space="preserve">Suscripciones</t>
  </si>
  <si>
    <t xml:space="preserve">Streaming</t>
  </si>
  <si>
    <t xml:space="preserve">Netflix</t>
  </si>
  <si>
    <t xml:space="preserve">2026-06-05_8990_Netflix</t>
  </si>
  <si>
    <t xml:space="preserve">🏷️ CATEGORÍAS — única fuente de presupuestos.</t>
  </si>
  <si>
    <t xml:space="preserve">Presupuesto Mensual</t>
  </si>
  <si>
    <t xml:space="preserve">Super, minimarket</t>
  </si>
  <si>
    <t xml:space="preserve">Chanchería</t>
  </si>
  <si>
    <t xml:space="preserve">Delivery, antojos</t>
  </si>
  <si>
    <t xml:space="preserve">Bencina, Uber, micro</t>
  </si>
  <si>
    <t xml:space="preserve">Farmacia, médico, suplementos</t>
  </si>
  <si>
    <t xml:space="preserve">Hijo</t>
  </si>
  <si>
    <t xml:space="preserve">Pañales, ropa, salud, educación</t>
  </si>
  <si>
    <t xml:space="preserve">Entretenimiento</t>
  </si>
  <si>
    <t xml:space="preserve">Salidas, asados</t>
  </si>
  <si>
    <t xml:space="preserve">Netflix, Spotify</t>
  </si>
  <si>
    <t xml:space="preserve">Ropa</t>
  </si>
  <si>
    <t xml:space="preserve">Hogar</t>
  </si>
  <si>
    <t xml:space="preserve">Limpieza, gastos hogar</t>
  </si>
  <si>
    <t xml:space="preserve">GGCC</t>
  </si>
  <si>
    <t xml:space="preserve">Luz, agua, gas, internet</t>
  </si>
  <si>
    <t xml:space="preserve">Educación</t>
  </si>
  <si>
    <t xml:space="preserve">Cursos, libros</t>
  </si>
  <si>
    <t xml:space="preserve">Tecnología</t>
  </si>
  <si>
    <t xml:space="preserve">Gadgets, software, APIs</t>
  </si>
  <si>
    <t xml:space="preserve">Tarjeta Crédito</t>
  </si>
  <si>
    <t xml:space="preserve">Pago de tarjeta</t>
  </si>
  <si>
    <t xml:space="preserve">Otro Gasto</t>
  </si>
  <si>
    <t xml:space="preserve">Sin clasificar</t>
  </si>
  <si>
    <t xml:space="preserve">Proyectos independientes</t>
  </si>
  <si>
    <t xml:space="preserve">Ayuda Familiar</t>
  </si>
  <si>
    <t xml:space="preserve">Ayuda padres</t>
  </si>
  <si>
    <t xml:space="preserve">Uber Eats</t>
  </si>
  <si>
    <t xml:space="preserve">Reparto en moto</t>
  </si>
  <si>
    <t xml:space="preserve">Clases</t>
  </si>
  <si>
    <t xml:space="preserve">Clases particulares</t>
  </si>
  <si>
    <t xml:space="preserve">💳 TARJETAS Y DEUDA — tu deuda REAL incluye la línea de crédito.</t>
  </si>
  <si>
    <t xml:space="preserve">🔦 FARO DE DEUDA</t>
  </si>
  <si>
    <t xml:space="preserve">DEUDA TOTAL REAL (tarjetas + línea)</t>
  </si>
  <si>
    <t xml:space="preserve">INTERESES MUERTOS DEL MES</t>
  </si>
  <si>
    <t xml:space="preserve">% Utilización total</t>
  </si>
  <si>
    <t xml:space="preserve">Semáforo</t>
  </si>
  <si>
    <t xml:space="preserve">TOTAL A PAGAR ESTE MES</t>
  </si>
  <si>
    <t xml:space="preserve">La línea + el rotativo es la fuga: pagas y la deuda no baja.</t>
  </si>
  <si>
    <t xml:space="preserve">🏦 BANCO DE CHILE</t>
  </si>
  <si>
    <t xml:space="preserve">Tasa mensual</t>
  </si>
  <si>
    <t xml:space="preserve">Deuda rotativa actual</t>
  </si>
  <si>
    <t xml:space="preserve">Pago este mes</t>
  </si>
  <si>
    <t xml:space="preserve">Mantención mensual</t>
  </si>
  <si>
    <t xml:space="preserve">Total cuotas del mes</t>
  </si>
  <si>
    <t xml:space="preserve">→ Interés del mes</t>
  </si>
  <si>
    <t xml:space="preserve">→ Deuda rotativa próx. mes</t>
  </si>
  <si>
    <t xml:space="preserve">Total a pagar (BCh)</t>
  </si>
  <si>
    <t xml:space="preserve">Cupo total</t>
  </si>
  <si>
    <t xml:space="preserve">Deuda total tarjeta (rotativo+cuotas pend.)</t>
  </si>
  <si>
    <t xml:space="preserve">📱 MACH</t>
  </si>
  <si>
    <t xml:space="preserve">Total a pagar (Mach)</t>
  </si>
  <si>
    <t xml:space="preserve">🏦 LÍNEA DE CRÉDITO</t>
  </si>
  <si>
    <t xml:space="preserve">Monto utilizado</t>
  </si>
  <si>
    <t xml:space="preserve">Interés mensual que pagas</t>
  </si>
  <si>
    <t xml:space="preserve">→ Tasa mensual implícita</t>
  </si>
  <si>
    <t xml:space="preserve">→ Disponible</t>
  </si>
  <si>
    <t xml:space="preserve">📈 DASHBOARD — del mes activo (ajusta Mes/Año abajo).</t>
  </si>
  <si>
    <t xml:space="preserve">Año</t>
  </si>
  <si>
    <t xml:space="preserve">Ingresos del mes</t>
  </si>
  <si>
    <t xml:space="preserve">Gastos del mes</t>
  </si>
  <si>
    <t xml:space="preserve">Balance</t>
  </si>
  <si>
    <t xml:space="preserve">Tasa de ahorro</t>
  </si>
  <si>
    <t xml:space="preserve">¿Llego a fin de mes?</t>
  </si>
  <si>
    <t xml:space="preserve">GASTO POR CATEGORÍA</t>
  </si>
  <si>
    <t xml:space="preserve">Presupuesto</t>
  </si>
  <si>
    <t xml:space="preserve">Gastado</t>
  </si>
  <si>
    <t xml:space="preserve">% Usado</t>
  </si>
  <si>
    <t xml:space="preserve">🔁 COMPARATIVO — mes activo vs. anterior.</t>
  </si>
  <si>
    <t xml:space="preserve">Concepto</t>
  </si>
  <si>
    <t xml:space="preserve">Mes anterior</t>
  </si>
  <si>
    <t xml:space="preserve">Variación</t>
  </si>
  <si>
    <t xml:space="preserve">Ingresos</t>
  </si>
  <si>
    <t xml:space="preserve">Gastos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</si>
</sst>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"/>
    <numFmt numFmtId="166" formatCode="0.0%"/>
    <numFmt numFmtId="167" formatCode="\$#,##0;&quot;($&quot;#,##0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theme="1"/>
      <name val="Arial"/>
      <family val="0"/>
      <charset val="1"/>
    </font>
    <font>
      <i val="true"/>
      <sz val="9"/>
      <color rgb="FF78909C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C62828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color rgb="FF78909C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37474F"/>
        <bgColor rgb="FF333399"/>
      </patternFill>
    </fill>
    <fill>
      <patternFill patternType="solid">
        <fgColor rgb="FF2E7D32"/>
        <bgColor rgb="FF008000"/>
      </patternFill>
    </fill>
    <fill>
      <patternFill patternType="solid">
        <fgColor rgb="FFFFF9C4"/>
        <bgColor rgb="FFFFFF99"/>
      </patternFill>
    </fill>
    <fill>
      <patternFill patternType="solid">
        <fgColor rgb="FF1565C0"/>
        <bgColor rgb="FF3366FF"/>
      </patternFill>
    </fill>
    <fill>
      <patternFill patternType="solid">
        <fgColor rgb="FFECEFF1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8909C"/>
      <rgbColor rgb="FF9999FF"/>
      <rgbColor rgb="FF993366"/>
      <rgbColor rgb="FFFFF9C4"/>
      <rgbColor rgb="FFECEFF1"/>
      <rgbColor rgb="FF660066"/>
      <rgbColor rgb="FFFF8080"/>
      <rgbColor rgb="FF1565C0"/>
      <rgbColor rgb="FFCF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7D32"/>
      <rgbColor rgb="FF003300"/>
      <rgbColor rgb="FF333300"/>
      <rgbColor rgb="FFC62828"/>
      <rgbColor rgb="FF993366"/>
      <rgbColor rgb="FF333399"/>
      <rgbColor rgb="FF3747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6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/>
      <c r="B3" s="3"/>
    </row>
    <row r="4" customFormat="false" ht="15" hidden="false" customHeight="false" outlineLevel="0" collapsed="false">
      <c r="A4" s="2" t="s">
        <v>1</v>
      </c>
      <c r="B4" s="3" t="s">
        <v>2</v>
      </c>
    </row>
    <row r="5" customFormat="false" ht="15" hidden="false" customHeight="false" outlineLevel="0" collapsed="false">
      <c r="A5" s="2" t="s">
        <v>3</v>
      </c>
      <c r="B5" s="3" t="s">
        <v>4</v>
      </c>
    </row>
    <row r="6" customFormat="false" ht="15" hidden="false" customHeight="false" outlineLevel="0" collapsed="false">
      <c r="A6" s="2"/>
      <c r="B6" s="3"/>
    </row>
    <row r="7" customFormat="false" ht="15" hidden="false" customHeight="false" outlineLevel="0" collapsed="false">
      <c r="A7" s="4" t="s">
        <v>5</v>
      </c>
      <c r="B7" s="3"/>
    </row>
    <row r="8" customFormat="false" ht="15" hidden="false" customHeight="false" outlineLevel="0" collapsed="false">
      <c r="A8" s="2" t="s">
        <v>6</v>
      </c>
      <c r="B8" s="3" t="s">
        <v>7</v>
      </c>
    </row>
    <row r="9" customFormat="false" ht="15" hidden="false" customHeight="false" outlineLevel="0" collapsed="false">
      <c r="A9" s="2" t="s">
        <v>8</v>
      </c>
      <c r="B9" s="3" t="s">
        <v>9</v>
      </c>
    </row>
    <row r="10" customFormat="false" ht="15" hidden="false" customHeight="false" outlineLevel="0" collapsed="false">
      <c r="A10" s="2" t="s">
        <v>10</v>
      </c>
      <c r="B10" s="3" t="s">
        <v>11</v>
      </c>
    </row>
    <row r="11" customFormat="false" ht="15" hidden="false" customHeight="false" outlineLevel="0" collapsed="false">
      <c r="A11" s="2" t="s">
        <v>12</v>
      </c>
      <c r="B11" s="3" t="s">
        <v>13</v>
      </c>
    </row>
    <row r="12" customFormat="false" ht="15" hidden="false" customHeight="false" outlineLevel="0" collapsed="false">
      <c r="A12" s="2" t="s">
        <v>14</v>
      </c>
      <c r="B12" s="3" t="s">
        <v>15</v>
      </c>
    </row>
    <row r="13" customFormat="false" ht="23.85" hidden="false" customHeight="false" outlineLevel="0" collapsed="false">
      <c r="A13" s="2" t="s">
        <v>16</v>
      </c>
      <c r="B13" s="3" t="s">
        <v>17</v>
      </c>
    </row>
    <row r="14" customFormat="false" ht="15" hidden="false" customHeight="false" outlineLevel="0" collapsed="false">
      <c r="A14" s="2" t="s">
        <v>18</v>
      </c>
      <c r="B14" s="3" t="s">
        <v>19</v>
      </c>
    </row>
    <row r="15" customFormat="false" ht="15" hidden="false" customHeight="false" outlineLevel="0" collapsed="false">
      <c r="A15" s="2" t="s">
        <v>20</v>
      </c>
      <c r="B15" s="3" t="s">
        <v>21</v>
      </c>
    </row>
    <row r="16" customFormat="false" ht="15" hidden="false" customHeight="false" outlineLevel="0" collapsed="false">
      <c r="A16" s="2"/>
      <c r="B16" s="3"/>
    </row>
    <row r="17" customFormat="false" ht="15" hidden="false" customHeight="false" outlineLevel="0" collapsed="false">
      <c r="A17" s="4" t="s">
        <v>22</v>
      </c>
      <c r="B17" s="3"/>
    </row>
    <row r="18" customFormat="false" ht="15" hidden="false" customHeight="false" outlineLevel="0" collapsed="false">
      <c r="A18" s="2" t="s">
        <v>23</v>
      </c>
      <c r="B18" s="3" t="s">
        <v>24</v>
      </c>
    </row>
    <row r="19" customFormat="false" ht="15" hidden="false" customHeight="false" outlineLevel="0" collapsed="false">
      <c r="A19" s="2" t="s">
        <v>25</v>
      </c>
      <c r="B19" s="3" t="s">
        <v>26</v>
      </c>
    </row>
    <row r="20" customFormat="false" ht="15" hidden="false" customHeight="false" outlineLevel="0" collapsed="false">
      <c r="A20" s="2" t="s">
        <v>27</v>
      </c>
      <c r="B20" s="3" t="s">
        <v>28</v>
      </c>
    </row>
    <row r="21" customFormat="false" ht="15" hidden="false" customHeight="false" outlineLevel="0" collapsed="false">
      <c r="A21" s="2" t="s">
        <v>29</v>
      </c>
      <c r="B21" s="3" t="s">
        <v>30</v>
      </c>
    </row>
    <row r="22" customFormat="false" ht="15" hidden="false" customHeight="false" outlineLevel="0" collapsed="false">
      <c r="A22" s="2" t="s">
        <v>31</v>
      </c>
      <c r="B22" s="3" t="s">
        <v>32</v>
      </c>
    </row>
    <row r="23" customFormat="false" ht="15" hidden="false" customHeight="false" outlineLevel="0" collapsed="false">
      <c r="A23" s="2"/>
      <c r="B23" s="3"/>
    </row>
    <row r="24" customFormat="false" ht="15" hidden="false" customHeight="false" outlineLevel="0" collapsed="false">
      <c r="A24" s="4" t="s">
        <v>33</v>
      </c>
      <c r="B24" s="3"/>
    </row>
    <row r="25" customFormat="false" ht="15" hidden="false" customHeight="false" outlineLevel="0" collapsed="false">
      <c r="A25" s="2" t="s">
        <v>34</v>
      </c>
      <c r="B25" s="3" t="s">
        <v>35</v>
      </c>
    </row>
    <row r="26" customFormat="false" ht="15" hidden="false" customHeight="false" outlineLevel="0" collapsed="false">
      <c r="A26" s="2" t="s">
        <v>36</v>
      </c>
      <c r="B26" s="3" t="s">
        <v>37</v>
      </c>
    </row>
    <row r="27" customFormat="false" ht="15" hidden="false" customHeight="false" outlineLevel="0" collapsed="false">
      <c r="A27" s="2" t="s">
        <v>38</v>
      </c>
      <c r="B27" s="3" t="s">
        <v>39</v>
      </c>
    </row>
    <row r="28" customFormat="false" ht="15" hidden="false" customHeight="false" outlineLevel="0" collapsed="false">
      <c r="A28" s="2"/>
      <c r="B28" s="3"/>
    </row>
    <row r="29" customFormat="false" ht="23.85" hidden="false" customHeight="false" outlineLevel="0" collapsed="false">
      <c r="A29" s="2" t="s">
        <v>40</v>
      </c>
      <c r="B29" s="3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10" min="9" style="0" width="8"/>
    <col collapsed="false" customWidth="true" hidden="false" outlineLevel="0" max="11" min="11" style="0" width="11"/>
    <col collapsed="false" customWidth="true" hidden="false" outlineLevel="0" max="12" min="12" style="0" width="24"/>
  </cols>
  <sheetData>
    <row r="1" customFormat="false" ht="16.15" hidden="false" customHeight="false" outlineLevel="0" collapsed="false">
      <c r="A1" s="5" t="s">
        <v>42</v>
      </c>
    </row>
    <row r="2" customFormat="false" ht="15" hidden="false" customHeight="false" outlineLevel="0" collapsed="false">
      <c r="A2" s="6" t="s">
        <v>43</v>
      </c>
      <c r="B2" s="6" t="s">
        <v>44</v>
      </c>
      <c r="C2" s="6" t="s">
        <v>45</v>
      </c>
      <c r="D2" s="6" t="s">
        <v>46</v>
      </c>
      <c r="E2" s="6" t="s">
        <v>47</v>
      </c>
      <c r="F2" s="6" t="s">
        <v>48</v>
      </c>
      <c r="G2" s="6" t="s">
        <v>49</v>
      </c>
      <c r="H2" s="6" t="s">
        <v>50</v>
      </c>
      <c r="I2" s="6" t="s">
        <v>51</v>
      </c>
      <c r="J2" s="6" t="s">
        <v>52</v>
      </c>
      <c r="K2" s="6" t="s">
        <v>53</v>
      </c>
      <c r="L2" s="6" t="s"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4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7" min="6" style="0" width="12"/>
    <col collapsed="false" customWidth="true" hidden="false" outlineLevel="0" max="8" min="8" style="0" width="24"/>
  </cols>
  <sheetData>
    <row r="1" customFormat="false" ht="16.15" hidden="false" customHeight="false" outlineLevel="0" collapsed="false">
      <c r="A1" s="5" t="s">
        <v>55</v>
      </c>
    </row>
    <row r="2" customFormat="false" ht="15" hidden="false" customHeight="false" outlineLevel="0" collapsed="false">
      <c r="A2" s="6" t="s">
        <v>56</v>
      </c>
      <c r="B2" s="6" t="s">
        <v>57</v>
      </c>
      <c r="C2" s="6" t="s">
        <v>58</v>
      </c>
      <c r="D2" s="6" t="s">
        <v>59</v>
      </c>
      <c r="E2" s="6" t="s">
        <v>60</v>
      </c>
      <c r="F2" s="6" t="s">
        <v>61</v>
      </c>
      <c r="G2" s="6" t="s">
        <v>62</v>
      </c>
      <c r="H2" s="6" t="s">
        <v>54</v>
      </c>
    </row>
    <row r="4" customFormat="false" ht="15" hidden="false" customHeight="false" outlineLevel="0" collapsed="false">
      <c r="A4" s="7" t="n">
        <v>46185</v>
      </c>
      <c r="B4" s="8" t="s">
        <v>63</v>
      </c>
      <c r="C4" s="8" t="s">
        <v>64</v>
      </c>
      <c r="D4" s="8" t="s">
        <v>65</v>
      </c>
      <c r="E4" s="7" t="n">
        <v>46193</v>
      </c>
      <c r="F4" s="8" t="s">
        <v>66</v>
      </c>
      <c r="G4" s="8"/>
      <c r="H4" s="8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4" min="4" style="0" width="30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28"/>
  </cols>
  <sheetData>
    <row r="1" customFormat="false" ht="16.15" hidden="false" customHeight="false" outlineLevel="0" collapsed="false">
      <c r="A1" s="5" t="s">
        <v>68</v>
      </c>
    </row>
    <row r="2" customFormat="false" ht="15" hidden="false" customHeight="false" outlineLevel="0" collapsed="false">
      <c r="A2" s="6" t="s">
        <v>58</v>
      </c>
      <c r="B2" s="6" t="s">
        <v>61</v>
      </c>
      <c r="C2" s="6" t="s">
        <v>69</v>
      </c>
      <c r="D2" s="6" t="s">
        <v>70</v>
      </c>
      <c r="E2" s="6" t="s">
        <v>71</v>
      </c>
      <c r="F2" s="6" t="s">
        <v>72</v>
      </c>
      <c r="G2" s="6" t="s">
        <v>54</v>
      </c>
    </row>
    <row r="3" customFormat="false" ht="15" hidden="false" customHeight="false" outlineLevel="0" collapsed="false">
      <c r="A3" s="9"/>
      <c r="C3" s="9"/>
      <c r="D3" s="9"/>
      <c r="E3" s="10"/>
    </row>
    <row r="4" customFormat="false" ht="15" hidden="false" customHeight="false" outlineLevel="0" collapsed="false">
      <c r="A4" s="11" t="s">
        <v>73</v>
      </c>
      <c r="B4" s="8" t="s">
        <v>74</v>
      </c>
      <c r="C4" s="11" t="s">
        <v>75</v>
      </c>
      <c r="D4" s="11" t="s">
        <v>76</v>
      </c>
      <c r="E4" s="12" t="n">
        <v>0</v>
      </c>
      <c r="F4" s="7" t="n">
        <v>46185</v>
      </c>
      <c r="G4" s="8" t="s">
        <v>77</v>
      </c>
    </row>
    <row r="5" customFormat="false" ht="15" hidden="false" customHeight="false" outlineLevel="0" collapsed="false">
      <c r="A5" s="11" t="s">
        <v>78</v>
      </c>
      <c r="B5" s="8" t="s">
        <v>74</v>
      </c>
      <c r="C5" s="11" t="s">
        <v>79</v>
      </c>
      <c r="D5" s="11" t="s">
        <v>76</v>
      </c>
      <c r="E5" s="12" t="n">
        <v>0</v>
      </c>
      <c r="F5" s="7" t="n">
        <v>46185</v>
      </c>
      <c r="G5" s="8"/>
    </row>
    <row r="6" customFormat="false" ht="15" hidden="false" customHeight="false" outlineLevel="0" collapsed="false">
      <c r="A6" s="11" t="s">
        <v>80</v>
      </c>
      <c r="B6" s="8" t="s">
        <v>74</v>
      </c>
      <c r="C6" s="11" t="s">
        <v>81</v>
      </c>
      <c r="D6" s="11" t="s">
        <v>76</v>
      </c>
      <c r="E6" s="12" t="n">
        <v>0.05</v>
      </c>
      <c r="F6" s="7" t="n">
        <v>46185</v>
      </c>
      <c r="G6" s="8" t="s">
        <v>82</v>
      </c>
    </row>
    <row r="7" customFormat="false" ht="15" hidden="false" customHeight="false" outlineLevel="0" collapsed="false">
      <c r="A7" s="11" t="s">
        <v>83</v>
      </c>
      <c r="B7" s="8" t="s">
        <v>74</v>
      </c>
      <c r="C7" s="11" t="s">
        <v>84</v>
      </c>
      <c r="D7" s="11" t="s">
        <v>64</v>
      </c>
      <c r="E7" s="12" t="n">
        <v>1</v>
      </c>
      <c r="F7" s="7" t="n">
        <v>46185</v>
      </c>
      <c r="G7" s="8" t="s">
        <v>85</v>
      </c>
    </row>
    <row r="8" customFormat="false" ht="15" hidden="false" customHeight="false" outlineLevel="0" collapsed="false">
      <c r="A8" s="8" t="s">
        <v>86</v>
      </c>
      <c r="B8" s="8" t="s">
        <v>74</v>
      </c>
      <c r="C8" s="8" t="s">
        <v>87</v>
      </c>
      <c r="D8" s="8" t="s">
        <v>88</v>
      </c>
      <c r="E8" s="8" t="n">
        <v>0.1</v>
      </c>
      <c r="F8" s="7" t="n">
        <v>46185</v>
      </c>
      <c r="G8" s="8" t="s">
        <v>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5" min="4" style="0" width="12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8"/>
  </cols>
  <sheetData>
    <row r="1" customFormat="false" ht="16.15" hidden="false" customHeight="false" outlineLevel="0" collapsed="false">
      <c r="A1" s="5" t="s">
        <v>90</v>
      </c>
    </row>
    <row r="2" customFormat="false" ht="23.85" hidden="false" customHeight="false" outlineLevel="0" collapsed="false">
      <c r="A2" s="6" t="s">
        <v>91</v>
      </c>
      <c r="B2" s="6" t="s">
        <v>59</v>
      </c>
      <c r="C2" s="6" t="s">
        <v>92</v>
      </c>
      <c r="D2" s="6" t="s">
        <v>93</v>
      </c>
      <c r="E2" s="6" t="s">
        <v>61</v>
      </c>
      <c r="F2" s="6" t="s">
        <v>94</v>
      </c>
      <c r="G2" s="6" t="s">
        <v>95</v>
      </c>
      <c r="H2" s="6" t="s">
        <v>74</v>
      </c>
    </row>
    <row r="4" customFormat="false" ht="15" hidden="false" customHeight="false" outlineLevel="0" collapsed="false">
      <c r="A4" s="8" t="s">
        <v>96</v>
      </c>
      <c r="B4" s="8" t="s">
        <v>97</v>
      </c>
      <c r="C4" s="8" t="s">
        <v>98</v>
      </c>
      <c r="D4" s="8"/>
      <c r="E4" s="8" t="s">
        <v>66</v>
      </c>
      <c r="F4" s="8" t="n">
        <v>0</v>
      </c>
      <c r="G4" s="8"/>
      <c r="H4" s="8" t="s">
        <v>99</v>
      </c>
    </row>
    <row r="5" customFormat="false" ht="15" hidden="false" customHeight="false" outlineLevel="0" collapsed="false">
      <c r="A5" s="8" t="s">
        <v>100</v>
      </c>
      <c r="B5" s="8" t="s">
        <v>97</v>
      </c>
      <c r="C5" s="8" t="s">
        <v>98</v>
      </c>
      <c r="D5" s="8"/>
      <c r="E5" s="8" t="s">
        <v>66</v>
      </c>
      <c r="F5" s="8" t="n">
        <v>0</v>
      </c>
      <c r="G5" s="8"/>
      <c r="H5" s="8" t="s">
        <v>99</v>
      </c>
    </row>
    <row r="6" customFormat="false" ht="15" hidden="false" customHeight="false" outlineLevel="0" collapsed="false">
      <c r="A6" s="8" t="s">
        <v>101</v>
      </c>
      <c r="B6" s="8" t="s">
        <v>97</v>
      </c>
      <c r="C6" s="8" t="s">
        <v>102</v>
      </c>
      <c r="D6" s="8"/>
      <c r="E6" s="8" t="s">
        <v>66</v>
      </c>
      <c r="F6" s="8" t="n">
        <v>0</v>
      </c>
      <c r="G6" s="8"/>
      <c r="H6" s="8" t="s">
        <v>99</v>
      </c>
    </row>
    <row r="7" customFormat="false" ht="15" hidden="false" customHeight="false" outlineLevel="0" collapsed="false">
      <c r="A7" s="8" t="s">
        <v>103</v>
      </c>
      <c r="B7" s="8" t="s">
        <v>97</v>
      </c>
      <c r="C7" s="8" t="s">
        <v>104</v>
      </c>
      <c r="D7" s="8"/>
      <c r="E7" s="8" t="s">
        <v>66</v>
      </c>
      <c r="F7" s="8" t="n">
        <v>0</v>
      </c>
      <c r="G7" s="8"/>
      <c r="H7" s="8" t="s">
        <v>99</v>
      </c>
    </row>
    <row r="8" customFormat="false" ht="15" hidden="false" customHeight="false" outlineLevel="0" collapsed="false">
      <c r="A8" s="8" t="s">
        <v>105</v>
      </c>
      <c r="B8" s="8" t="s">
        <v>97</v>
      </c>
      <c r="C8" s="8" t="s">
        <v>104</v>
      </c>
      <c r="D8" s="8"/>
      <c r="E8" s="8" t="s">
        <v>66</v>
      </c>
      <c r="F8" s="8" t="n">
        <v>0</v>
      </c>
      <c r="G8" s="8"/>
      <c r="H8" s="8" t="s">
        <v>99</v>
      </c>
    </row>
    <row r="9" customFormat="false" ht="15" hidden="false" customHeight="false" outlineLevel="0" collapsed="false">
      <c r="A9" s="8" t="s">
        <v>106</v>
      </c>
      <c r="B9" s="8" t="s">
        <v>107</v>
      </c>
      <c r="C9" s="8" t="s">
        <v>108</v>
      </c>
      <c r="D9" s="8"/>
      <c r="E9" s="8" t="s">
        <v>66</v>
      </c>
      <c r="F9" s="8" t="n">
        <v>0</v>
      </c>
      <c r="G9" s="8"/>
      <c r="H9" s="8" t="s">
        <v>99</v>
      </c>
    </row>
    <row r="10" customFormat="false" ht="15" hidden="false" customHeight="false" outlineLevel="0" collapsed="false">
      <c r="A10" s="8" t="s">
        <v>109</v>
      </c>
      <c r="B10" s="8" t="s">
        <v>107</v>
      </c>
      <c r="C10" s="8" t="s">
        <v>110</v>
      </c>
      <c r="D10" s="8"/>
      <c r="E10" s="8" t="s">
        <v>66</v>
      </c>
      <c r="F10" s="8" t="n">
        <v>0</v>
      </c>
      <c r="G10" s="8"/>
      <c r="H10" s="8" t="s">
        <v>99</v>
      </c>
    </row>
    <row r="11" customFormat="false" ht="15" hidden="false" customHeight="false" outlineLevel="0" collapsed="false">
      <c r="A11" s="8" t="s">
        <v>111</v>
      </c>
      <c r="B11" s="8" t="s">
        <v>112</v>
      </c>
      <c r="C11" s="8" t="s">
        <v>113</v>
      </c>
      <c r="D11" s="8"/>
      <c r="E11" s="8" t="s">
        <v>66</v>
      </c>
      <c r="F11" s="8" t="n">
        <v>0</v>
      </c>
      <c r="G11" s="8"/>
      <c r="H11" s="8" t="s">
        <v>99</v>
      </c>
    </row>
    <row r="12" customFormat="false" ht="15" hidden="false" customHeight="false" outlineLevel="0" collapsed="false">
      <c r="A12" s="8" t="s">
        <v>114</v>
      </c>
      <c r="B12" s="8" t="s">
        <v>97</v>
      </c>
      <c r="C12" s="8"/>
      <c r="D12" s="8"/>
      <c r="E12" s="8" t="s">
        <v>66</v>
      </c>
      <c r="F12" s="8" t="n">
        <v>0</v>
      </c>
      <c r="G12" s="8"/>
      <c r="H12" s="8" t="s">
        <v>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115</v>
      </c>
    </row>
    <row r="2" customFormat="false" ht="23.85" hidden="false" customHeight="false" outlineLevel="0" collapsed="false">
      <c r="A2" s="6" t="s">
        <v>43</v>
      </c>
      <c r="B2" s="6" t="s">
        <v>116</v>
      </c>
      <c r="C2" s="6" t="s">
        <v>117</v>
      </c>
      <c r="D2" s="6" t="s">
        <v>118</v>
      </c>
      <c r="E2" s="6" t="s">
        <v>119</v>
      </c>
      <c r="F2" s="6" t="s">
        <v>120</v>
      </c>
      <c r="G2" s="6" t="s">
        <v>121</v>
      </c>
      <c r="H2" s="6" t="s">
        <v>54</v>
      </c>
    </row>
    <row r="3" customFormat="false" ht="15" hidden="false" customHeight="false" outlineLevel="0" collapsed="false">
      <c r="H3" s="13" t="s">
        <v>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4" min="14" style="0" width="15"/>
    <col collapsed="false" customWidth="true" hidden="false" outlineLevel="0" max="15" min="15" style="0" width="24"/>
    <col collapsed="false" customWidth="true" hidden="false" outlineLevel="0" max="16" min="16" style="0" width="12"/>
    <col collapsed="false" customWidth="true" hidden="false" outlineLevel="0" max="17" min="17" style="0" width="13"/>
  </cols>
  <sheetData>
    <row r="1" customFormat="false" ht="16.15" hidden="false" customHeight="false" outlineLevel="0" collapsed="false">
      <c r="A1" s="5" t="s">
        <v>123</v>
      </c>
    </row>
    <row r="2" customFormat="false" ht="23.85" hidden="false" customHeight="false" outlineLevel="0" collapsed="false">
      <c r="A2" s="6" t="s">
        <v>124</v>
      </c>
      <c r="B2" s="6" t="s">
        <v>125</v>
      </c>
      <c r="C2" s="6" t="s">
        <v>126</v>
      </c>
      <c r="D2" s="6" t="s">
        <v>127</v>
      </c>
      <c r="E2" s="6" t="s">
        <v>128</v>
      </c>
      <c r="F2" s="6" t="s">
        <v>129</v>
      </c>
      <c r="G2" s="6" t="s">
        <v>130</v>
      </c>
      <c r="H2" s="6" t="s">
        <v>131</v>
      </c>
      <c r="I2" s="6" t="s">
        <v>132</v>
      </c>
      <c r="J2" s="6" t="s">
        <v>133</v>
      </c>
      <c r="K2" s="6" t="s">
        <v>134</v>
      </c>
      <c r="L2" s="6" t="s">
        <v>135</v>
      </c>
      <c r="M2" s="6" t="s">
        <v>136</v>
      </c>
      <c r="N2" s="6" t="s">
        <v>137</v>
      </c>
      <c r="O2" s="6" t="s">
        <v>138</v>
      </c>
      <c r="P2" s="6" t="s">
        <v>139</v>
      </c>
      <c r="Q2" s="6" t="s">
        <v>140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0"/>
    <col collapsed="false" customWidth="true" hidden="false" outlineLevel="0" max="3" min="3" style="0" width="42"/>
  </cols>
  <sheetData>
    <row r="1" customFormat="false" ht="16.15" hidden="false" customHeight="false" outlineLevel="0" collapsed="false">
      <c r="A1" s="1" t="s">
        <v>141</v>
      </c>
    </row>
    <row r="2" customFormat="false" ht="15" hidden="false" customHeight="false" outlineLevel="0" collapsed="false">
      <c r="A2" s="14" t="s">
        <v>142</v>
      </c>
      <c r="B2" s="14" t="s">
        <v>143</v>
      </c>
      <c r="C2" s="14" t="s">
        <v>144</v>
      </c>
    </row>
    <row r="3" customFormat="false" ht="15" hidden="false" customHeight="false" outlineLevel="0" collapsed="false">
      <c r="B3" s="9"/>
    </row>
    <row r="4" customFormat="false" ht="15" hidden="false" customHeight="false" outlineLevel="0" collapsed="false">
      <c r="A4" s="8" t="s">
        <v>145</v>
      </c>
      <c r="B4" s="11" t="s">
        <v>146</v>
      </c>
      <c r="C4" s="8" t="s">
        <v>147</v>
      </c>
    </row>
    <row r="5" customFormat="false" ht="15" hidden="false" customHeight="false" outlineLevel="0" collapsed="false">
      <c r="A5" s="8" t="s">
        <v>148</v>
      </c>
      <c r="B5" s="11" t="s">
        <v>149</v>
      </c>
      <c r="C5" s="8" t="s">
        <v>150</v>
      </c>
    </row>
    <row r="6" customFormat="false" ht="15" hidden="false" customHeight="false" outlineLevel="0" collapsed="false">
      <c r="A6" s="8" t="s">
        <v>151</v>
      </c>
      <c r="B6" s="11" t="s">
        <v>152</v>
      </c>
      <c r="C6" s="8" t="s">
        <v>153</v>
      </c>
    </row>
    <row r="7" customFormat="false" ht="15" hidden="false" customHeight="false" outlineLevel="0" collapsed="false">
      <c r="A7" s="8" t="s">
        <v>154</v>
      </c>
      <c r="B7" s="11" t="s">
        <v>155</v>
      </c>
      <c r="C7" s="8" t="s">
        <v>156</v>
      </c>
    </row>
    <row r="8" customFormat="false" ht="15" hidden="false" customHeight="false" outlineLevel="0" collapsed="false">
      <c r="A8" s="8" t="s">
        <v>157</v>
      </c>
      <c r="B8" s="11" t="s">
        <v>47</v>
      </c>
      <c r="C8" s="8" t="s">
        <v>158</v>
      </c>
    </row>
    <row r="9" customFormat="false" ht="15" hidden="false" customHeight="false" outlineLevel="0" collapsed="false">
      <c r="A9" s="8" t="s">
        <v>159</v>
      </c>
      <c r="B9" s="11" t="s">
        <v>160</v>
      </c>
      <c r="C9" s="8" t="s">
        <v>161</v>
      </c>
    </row>
    <row r="10" customFormat="false" ht="15" hidden="false" customHeight="false" outlineLevel="0" collapsed="false">
      <c r="A10" s="8" t="s">
        <v>162</v>
      </c>
      <c r="B10" s="11" t="s">
        <v>163</v>
      </c>
      <c r="C10" s="8" t="s">
        <v>164</v>
      </c>
    </row>
    <row r="11" customFormat="false" ht="15" hidden="false" customHeight="false" outlineLevel="0" collapsed="false">
      <c r="A11" s="8" t="s">
        <v>165</v>
      </c>
      <c r="B11" s="11" t="n">
        <v>6</v>
      </c>
      <c r="C11" s="8" t="s">
        <v>166</v>
      </c>
    </row>
    <row r="12" customFormat="false" ht="15" hidden="false" customHeight="false" outlineLevel="0" collapsed="false">
      <c r="A12" s="8" t="s">
        <v>167</v>
      </c>
      <c r="B12" s="11" t="n">
        <v>2026</v>
      </c>
      <c r="C12" s="8" t="s">
        <v>168</v>
      </c>
    </row>
    <row r="13" customFormat="false" ht="15" hidden="false" customHeight="false" outlineLevel="0" collapsed="false">
      <c r="A13" s="8" t="s">
        <v>169</v>
      </c>
      <c r="B13" s="11" t="s">
        <v>170</v>
      </c>
      <c r="C13" s="8" t="s">
        <v>171</v>
      </c>
    </row>
    <row r="14" customFormat="false" ht="15" hidden="false" customHeight="false" outlineLevel="0" collapsed="false">
      <c r="A14" s="8" t="s">
        <v>172</v>
      </c>
      <c r="B14" s="11" t="s">
        <v>173</v>
      </c>
      <c r="C14" s="8" t="s">
        <v>174</v>
      </c>
    </row>
    <row r="15" customFormat="false" ht="15" hidden="false" customHeight="false" outlineLevel="0" collapsed="false">
      <c r="A15" s="8" t="s">
        <v>175</v>
      </c>
      <c r="B15" s="11" t="s">
        <v>173</v>
      </c>
      <c r="C15" s="8" t="s">
        <v>176</v>
      </c>
    </row>
    <row r="16" customFormat="false" ht="15" hidden="false" customHeight="false" outlineLevel="0" collapsed="false">
      <c r="A16" s="8" t="s">
        <v>177</v>
      </c>
      <c r="B16" s="11" t="s">
        <v>178</v>
      </c>
      <c r="C16" s="8" t="s">
        <v>179</v>
      </c>
    </row>
    <row r="17" customFormat="false" ht="15" hidden="false" customHeight="false" outlineLevel="0" collapsed="false">
      <c r="A17" s="8" t="s">
        <v>180</v>
      </c>
      <c r="B17" s="11" t="s">
        <v>178</v>
      </c>
      <c r="C17" s="8" t="s">
        <v>181</v>
      </c>
    </row>
    <row r="18" customFormat="false" ht="15" hidden="false" customHeight="false" outlineLevel="0" collapsed="false">
      <c r="A18" s="8" t="s">
        <v>182</v>
      </c>
      <c r="B18" s="11" t="s">
        <v>183</v>
      </c>
      <c r="C18" s="8" t="s">
        <v>184</v>
      </c>
    </row>
    <row r="19" customFormat="false" ht="15" hidden="false" customHeight="false" outlineLevel="0" collapsed="false">
      <c r="A19" s="8" t="s">
        <v>185</v>
      </c>
      <c r="B19" s="8" t="s">
        <v>186</v>
      </c>
      <c r="C19" s="8" t="s">
        <v>187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15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12"/>
    <col collapsed="false" customWidth="true" hidden="false" outlineLevel="0" max="7" min="7" style="0" width="15"/>
    <col collapsed="false" customWidth="true" hidden="false" outlineLevel="0" max="8" min="8" style="0" width="11"/>
    <col collapsed="false" customWidth="true" hidden="false" outlineLevel="0" max="9" min="9" style="0" width="26"/>
  </cols>
  <sheetData>
    <row r="1" customFormat="false" ht="16.15" hidden="false" customHeight="false" outlineLevel="0" collapsed="false">
      <c r="A1" s="15" t="s">
        <v>188</v>
      </c>
    </row>
    <row r="2" customFormat="false" ht="15" hidden="false" customHeight="false" outlineLevel="0" collapsed="false">
      <c r="A2" s="16" t="s">
        <v>43</v>
      </c>
      <c r="B2" s="16" t="s">
        <v>59</v>
      </c>
      <c r="C2" s="16" t="s">
        <v>189</v>
      </c>
      <c r="D2" s="16" t="s">
        <v>190</v>
      </c>
      <c r="E2" s="16" t="s">
        <v>191</v>
      </c>
      <c r="F2" s="16" t="s">
        <v>192</v>
      </c>
      <c r="G2" s="16" t="s">
        <v>193</v>
      </c>
      <c r="H2" s="16" t="s">
        <v>194</v>
      </c>
      <c r="I2" s="16" t="s">
        <v>195</v>
      </c>
    </row>
    <row r="3" customFormat="false" ht="15" hidden="false" customHeight="false" outlineLevel="0" collapsed="false">
      <c r="A3" s="17"/>
      <c r="F3" s="18"/>
    </row>
    <row r="4" customFormat="false" ht="15" hidden="false" customHeight="false" outlineLevel="0" collapsed="false">
      <c r="A4" s="7" t="n">
        <v>46174</v>
      </c>
      <c r="B4" s="8" t="s">
        <v>196</v>
      </c>
      <c r="C4" s="8" t="s">
        <v>197</v>
      </c>
      <c r="D4" s="8" t="s">
        <v>198</v>
      </c>
      <c r="E4" s="8" t="s">
        <v>199</v>
      </c>
      <c r="F4" s="19" t="n">
        <v>38500</v>
      </c>
      <c r="G4" s="8" t="s">
        <v>200</v>
      </c>
      <c r="H4" s="8" t="s">
        <v>201</v>
      </c>
      <c r="I4" s="8" t="s">
        <v>202</v>
      </c>
    </row>
    <row r="5" customFormat="false" ht="15" hidden="false" customHeight="false" outlineLevel="0" collapsed="false">
      <c r="A5" s="7" t="n">
        <v>46174</v>
      </c>
      <c r="B5" s="8" t="s">
        <v>196</v>
      </c>
      <c r="C5" s="8" t="s">
        <v>203</v>
      </c>
      <c r="D5" s="8" t="s">
        <v>204</v>
      </c>
      <c r="E5" s="8" t="s">
        <v>205</v>
      </c>
      <c r="F5" s="19" t="n">
        <v>4200</v>
      </c>
      <c r="G5" s="8" t="s">
        <v>206</v>
      </c>
      <c r="H5" s="8" t="s">
        <v>207</v>
      </c>
      <c r="I5" s="8" t="s">
        <v>208</v>
      </c>
    </row>
    <row r="6" customFormat="false" ht="15" hidden="false" customHeight="false" outlineLevel="0" collapsed="false">
      <c r="A6" s="7" t="n">
        <v>46175</v>
      </c>
      <c r="B6" s="8" t="s">
        <v>196</v>
      </c>
      <c r="C6" s="8" t="s">
        <v>209</v>
      </c>
      <c r="D6" s="8" t="s">
        <v>210</v>
      </c>
      <c r="E6" s="8" t="s">
        <v>211</v>
      </c>
      <c r="F6" s="19" t="n">
        <v>12990</v>
      </c>
      <c r="G6" s="8" t="s">
        <v>200</v>
      </c>
      <c r="H6" s="8" t="s">
        <v>212</v>
      </c>
      <c r="I6" s="8" t="s">
        <v>213</v>
      </c>
    </row>
    <row r="7" customFormat="false" ht="15" hidden="false" customHeight="false" outlineLevel="0" collapsed="false">
      <c r="A7" s="7" t="n">
        <v>46178</v>
      </c>
      <c r="B7" s="8" t="s">
        <v>214</v>
      </c>
      <c r="C7" s="8" t="s">
        <v>215</v>
      </c>
      <c r="D7" s="8" t="s">
        <v>58</v>
      </c>
      <c r="E7" s="8" t="s">
        <v>216</v>
      </c>
      <c r="F7" s="19" t="n">
        <v>350000</v>
      </c>
      <c r="G7" s="8" t="s">
        <v>200</v>
      </c>
      <c r="H7" s="8" t="s">
        <v>201</v>
      </c>
      <c r="I7" s="8" t="s">
        <v>217</v>
      </c>
    </row>
    <row r="8" customFormat="false" ht="15" hidden="false" customHeight="false" outlineLevel="0" collapsed="false">
      <c r="A8" s="7" t="n">
        <v>46178</v>
      </c>
      <c r="B8" s="8" t="s">
        <v>196</v>
      </c>
      <c r="C8" s="8" t="s">
        <v>218</v>
      </c>
      <c r="D8" s="8" t="s">
        <v>219</v>
      </c>
      <c r="E8" s="8" t="s">
        <v>220</v>
      </c>
      <c r="F8" s="8" t="n">
        <v>8990</v>
      </c>
      <c r="G8" s="8" t="s">
        <v>200</v>
      </c>
      <c r="H8" s="8" t="s">
        <v>201</v>
      </c>
      <c r="I8" s="8" t="s">
        <v>221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0"/>
    <col collapsed="false" customWidth="true" hidden="false" outlineLevel="0" max="3" min="3" style="0" width="18"/>
    <col collapsed="false" customWidth="true" hidden="false" outlineLevel="0" max="4" min="4" style="0" width="32"/>
  </cols>
  <sheetData>
    <row r="1" customFormat="false" ht="16.15" hidden="false" customHeight="false" outlineLevel="0" collapsed="false">
      <c r="A1" s="15" t="s">
        <v>222</v>
      </c>
    </row>
    <row r="2" customFormat="false" ht="23.85" hidden="false" customHeight="false" outlineLevel="0" collapsed="false">
      <c r="A2" s="16" t="s">
        <v>189</v>
      </c>
      <c r="B2" s="16" t="s">
        <v>59</v>
      </c>
      <c r="C2" s="16" t="s">
        <v>223</v>
      </c>
      <c r="D2" s="16" t="s">
        <v>54</v>
      </c>
    </row>
    <row r="3" customFormat="false" ht="15" hidden="false" customHeight="false" outlineLevel="0" collapsed="false">
      <c r="C3" s="20"/>
    </row>
    <row r="4" customFormat="false" ht="15" hidden="false" customHeight="false" outlineLevel="0" collapsed="false">
      <c r="A4" s="8" t="s">
        <v>197</v>
      </c>
      <c r="B4" s="8" t="s">
        <v>196</v>
      </c>
      <c r="C4" s="21" t="n">
        <v>250000</v>
      </c>
      <c r="D4" s="8" t="s">
        <v>224</v>
      </c>
    </row>
    <row r="5" customFormat="false" ht="15" hidden="false" customHeight="false" outlineLevel="0" collapsed="false">
      <c r="A5" s="8" t="s">
        <v>225</v>
      </c>
      <c r="B5" s="8" t="s">
        <v>196</v>
      </c>
      <c r="C5" s="21" t="n">
        <v>30000</v>
      </c>
      <c r="D5" s="8" t="s">
        <v>226</v>
      </c>
    </row>
    <row r="6" customFormat="false" ht="15" hidden="false" customHeight="false" outlineLevel="0" collapsed="false">
      <c r="A6" s="8" t="s">
        <v>203</v>
      </c>
      <c r="B6" s="8" t="s">
        <v>196</v>
      </c>
      <c r="C6" s="21" t="n">
        <v>50000</v>
      </c>
      <c r="D6" s="8" t="s">
        <v>227</v>
      </c>
    </row>
    <row r="7" customFormat="false" ht="15" hidden="false" customHeight="false" outlineLevel="0" collapsed="false">
      <c r="A7" s="8" t="s">
        <v>209</v>
      </c>
      <c r="B7" s="8" t="s">
        <v>196</v>
      </c>
      <c r="C7" s="21" t="n">
        <v>20000</v>
      </c>
      <c r="D7" s="8" t="s">
        <v>228</v>
      </c>
    </row>
    <row r="8" customFormat="false" ht="15" hidden="false" customHeight="false" outlineLevel="0" collapsed="false">
      <c r="A8" s="8" t="s">
        <v>229</v>
      </c>
      <c r="B8" s="8" t="s">
        <v>196</v>
      </c>
      <c r="C8" s="21" t="n">
        <v>0</v>
      </c>
      <c r="D8" s="8" t="s">
        <v>230</v>
      </c>
    </row>
    <row r="9" customFormat="false" ht="15" hidden="false" customHeight="false" outlineLevel="0" collapsed="false">
      <c r="A9" s="8" t="s">
        <v>231</v>
      </c>
      <c r="B9" s="8" t="s">
        <v>196</v>
      </c>
      <c r="C9" s="21" t="n">
        <v>40000</v>
      </c>
      <c r="D9" s="8" t="s">
        <v>232</v>
      </c>
    </row>
    <row r="10" customFormat="false" ht="15" hidden="false" customHeight="false" outlineLevel="0" collapsed="false">
      <c r="A10" s="8" t="s">
        <v>218</v>
      </c>
      <c r="B10" s="8" t="s">
        <v>196</v>
      </c>
      <c r="C10" s="21" t="n">
        <v>0</v>
      </c>
      <c r="D10" s="8" t="s">
        <v>233</v>
      </c>
    </row>
    <row r="11" customFormat="false" ht="15" hidden="false" customHeight="false" outlineLevel="0" collapsed="false">
      <c r="A11" s="8" t="s">
        <v>234</v>
      </c>
      <c r="B11" s="8" t="s">
        <v>196</v>
      </c>
      <c r="C11" s="21" t="n">
        <v>0</v>
      </c>
      <c r="D11" s="8"/>
    </row>
    <row r="12" customFormat="false" ht="15" hidden="false" customHeight="false" outlineLevel="0" collapsed="false">
      <c r="A12" s="8" t="s">
        <v>235</v>
      </c>
      <c r="B12" s="8" t="s">
        <v>196</v>
      </c>
      <c r="C12" s="21" t="n">
        <v>80000</v>
      </c>
      <c r="D12" s="8" t="s">
        <v>236</v>
      </c>
    </row>
    <row r="13" customFormat="false" ht="15" hidden="false" customHeight="false" outlineLevel="0" collapsed="false">
      <c r="A13" s="8" t="s">
        <v>237</v>
      </c>
      <c r="B13" s="8" t="s">
        <v>196</v>
      </c>
      <c r="C13" s="21" t="n">
        <v>120000</v>
      </c>
      <c r="D13" s="8" t="s">
        <v>238</v>
      </c>
    </row>
    <row r="14" customFormat="false" ht="15" hidden="false" customHeight="false" outlineLevel="0" collapsed="false">
      <c r="A14" s="8" t="s">
        <v>239</v>
      </c>
      <c r="B14" s="8" t="s">
        <v>196</v>
      </c>
      <c r="C14" s="21" t="n">
        <v>0</v>
      </c>
      <c r="D14" s="8" t="s">
        <v>240</v>
      </c>
    </row>
    <row r="15" customFormat="false" ht="15" hidden="false" customHeight="false" outlineLevel="0" collapsed="false">
      <c r="A15" s="8" t="s">
        <v>241</v>
      </c>
      <c r="B15" s="8" t="s">
        <v>196</v>
      </c>
      <c r="C15" s="21" t="n">
        <v>28000</v>
      </c>
      <c r="D15" s="8" t="s">
        <v>242</v>
      </c>
    </row>
    <row r="16" customFormat="false" ht="15" hidden="false" customHeight="false" outlineLevel="0" collapsed="false">
      <c r="A16" s="8" t="s">
        <v>243</v>
      </c>
      <c r="B16" s="8" t="s">
        <v>196</v>
      </c>
      <c r="C16" s="21" t="n">
        <v>0</v>
      </c>
      <c r="D16" s="8" t="s">
        <v>244</v>
      </c>
    </row>
    <row r="17" customFormat="false" ht="15" hidden="false" customHeight="false" outlineLevel="0" collapsed="false">
      <c r="A17" s="8" t="s">
        <v>245</v>
      </c>
      <c r="B17" s="8" t="s">
        <v>196</v>
      </c>
      <c r="C17" s="21" t="n">
        <v>0</v>
      </c>
      <c r="D17" s="8" t="s">
        <v>246</v>
      </c>
    </row>
    <row r="18" customFormat="false" ht="15" hidden="false" customHeight="false" outlineLevel="0" collapsed="false">
      <c r="A18" s="8" t="s">
        <v>215</v>
      </c>
      <c r="B18" s="8" t="s">
        <v>214</v>
      </c>
      <c r="C18" s="21" t="n">
        <v>0</v>
      </c>
      <c r="D18" s="8" t="s">
        <v>247</v>
      </c>
    </row>
    <row r="19" customFormat="false" ht="15" hidden="false" customHeight="false" outlineLevel="0" collapsed="false">
      <c r="A19" s="8" t="s">
        <v>248</v>
      </c>
      <c r="B19" s="8" t="s">
        <v>214</v>
      </c>
      <c r="C19" s="21" t="n">
        <v>0</v>
      </c>
      <c r="D19" s="8" t="s">
        <v>249</v>
      </c>
    </row>
    <row r="20" customFormat="false" ht="15" hidden="false" customHeight="false" outlineLevel="0" collapsed="false">
      <c r="A20" s="8" t="s">
        <v>250</v>
      </c>
      <c r="B20" s="8" t="s">
        <v>214</v>
      </c>
      <c r="C20" s="21" t="n">
        <v>0</v>
      </c>
      <c r="D20" s="8" t="s">
        <v>251</v>
      </c>
    </row>
    <row r="21" customFormat="false" ht="15" hidden="false" customHeight="false" outlineLevel="0" collapsed="false">
      <c r="A21" s="8" t="s">
        <v>252</v>
      </c>
      <c r="B21" s="8" t="s">
        <v>214</v>
      </c>
      <c r="C21" s="8" t="n">
        <v>0</v>
      </c>
      <c r="D21" s="8" t="s">
        <v>253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</cols>
  <sheetData>
    <row r="1" customFormat="false" ht="16.15" hidden="false" customHeight="false" outlineLevel="0" collapsed="false">
      <c r="A1" s="15" t="s">
        <v>254</v>
      </c>
    </row>
    <row r="3" customFormat="false" ht="15" hidden="false" customHeight="false" outlineLevel="0" collapsed="false">
      <c r="A3" s="22" t="s">
        <v>255</v>
      </c>
    </row>
    <row r="4" customFormat="false" ht="15" hidden="false" customHeight="false" outlineLevel="0" collapsed="false">
      <c r="A4" s="23" t="s">
        <v>256</v>
      </c>
      <c r="B4" s="24" t="n">
        <f aca="false">B29+B40+B44</f>
        <v>2028091</v>
      </c>
    </row>
    <row r="5" customFormat="false" ht="15" hidden="false" customHeight="false" outlineLevel="0" collapsed="false">
      <c r="A5" s="23" t="s">
        <v>257</v>
      </c>
      <c r="B5" s="24" t="n">
        <f aca="false">B25+B37+B45</f>
        <v>48236.2089</v>
      </c>
    </row>
    <row r="6" customFormat="false" ht="15" hidden="false" customHeight="false" outlineLevel="0" collapsed="false">
      <c r="A6" s="25" t="s">
        <v>258</v>
      </c>
      <c r="B6" s="26" t="n">
        <f aca="false">(B29+B40+B44)/(B28+B39+B43)</f>
        <v>0.881778695652174</v>
      </c>
    </row>
    <row r="7" customFormat="false" ht="15" hidden="false" customHeight="false" outlineLevel="0" collapsed="false">
      <c r="A7" s="25" t="s">
        <v>259</v>
      </c>
      <c r="B7" s="25" t="str">
        <f aca="false">IF(B6&gt;0.7,"🔴 Alto",IF(B6&gt;0.3,"🟡 Medio","🟢 OK"))</f>
        <v>🔴 Alto</v>
      </c>
    </row>
    <row r="8" customFormat="false" ht="15" hidden="false" customHeight="false" outlineLevel="0" collapsed="false">
      <c r="A8" s="23" t="s">
        <v>260</v>
      </c>
      <c r="B8" s="27" t="n">
        <f aca="false">B27+B38+B45</f>
        <v>200293</v>
      </c>
    </row>
    <row r="9" customFormat="false" ht="15" hidden="false" customHeight="false" outlineLevel="0" collapsed="false">
      <c r="A9" s="28" t="s">
        <v>261</v>
      </c>
    </row>
    <row r="19" customFormat="false" ht="15" hidden="false" customHeight="false" outlineLevel="0" collapsed="false">
      <c r="A19" s="29" t="s">
        <v>262</v>
      </c>
    </row>
    <row r="20" customFormat="false" ht="15" hidden="false" customHeight="false" outlineLevel="0" collapsed="false">
      <c r="A20" s="25" t="s">
        <v>263</v>
      </c>
      <c r="B20" s="30" t="n">
        <v>0.0273</v>
      </c>
    </row>
    <row r="21" customFormat="false" ht="15" hidden="false" customHeight="false" outlineLevel="0" collapsed="false">
      <c r="A21" s="25" t="s">
        <v>264</v>
      </c>
      <c r="B21" s="31" t="n">
        <v>667993</v>
      </c>
    </row>
    <row r="22" customFormat="false" ht="15" hidden="false" customHeight="false" outlineLevel="0" collapsed="false">
      <c r="A22" s="25" t="s">
        <v>265</v>
      </c>
      <c r="B22" s="31" t="n">
        <v>50000</v>
      </c>
    </row>
    <row r="23" customFormat="false" ht="15" hidden="false" customHeight="false" outlineLevel="0" collapsed="false">
      <c r="A23" s="25" t="s">
        <v>266</v>
      </c>
      <c r="B23" s="31" t="n">
        <v>6061</v>
      </c>
    </row>
    <row r="24" customFormat="false" ht="15" hidden="false" customHeight="false" outlineLevel="0" collapsed="false">
      <c r="A24" s="25" t="s">
        <v>267</v>
      </c>
      <c r="B24" s="31" t="n">
        <v>65861</v>
      </c>
    </row>
    <row r="25" customFormat="false" ht="15" hidden="false" customHeight="false" outlineLevel="0" collapsed="false">
      <c r="A25" s="25" t="s">
        <v>268</v>
      </c>
      <c r="B25" s="32" t="n">
        <f aca="false">B20*B21</f>
        <v>18236.2089</v>
      </c>
    </row>
    <row r="26" customFormat="false" ht="15" hidden="false" customHeight="false" outlineLevel="0" collapsed="false">
      <c r="A26" s="25" t="s">
        <v>269</v>
      </c>
      <c r="B26" s="32" t="n">
        <f aca="false">MAX(0,B21+B25-B22)</f>
        <v>636229.2089</v>
      </c>
    </row>
    <row r="27" customFormat="false" ht="15" hidden="false" customHeight="false" outlineLevel="0" collapsed="false">
      <c r="A27" s="25" t="s">
        <v>270</v>
      </c>
      <c r="B27" s="27" t="n">
        <f aca="false">B24+B22+B23</f>
        <v>121922</v>
      </c>
    </row>
    <row r="28" customFormat="false" ht="15" hidden="false" customHeight="false" outlineLevel="0" collapsed="false">
      <c r="A28" s="25" t="s">
        <v>271</v>
      </c>
      <c r="B28" s="31" t="n">
        <v>1000000</v>
      </c>
    </row>
    <row r="29" customFormat="false" ht="15" hidden="false" customHeight="false" outlineLevel="0" collapsed="false">
      <c r="A29" s="25" t="s">
        <v>272</v>
      </c>
      <c r="B29" s="31" t="n">
        <v>859437</v>
      </c>
    </row>
    <row r="31" customFormat="false" ht="15" hidden="false" customHeight="false" outlineLevel="0" collapsed="false">
      <c r="A31" s="29" t="s">
        <v>273</v>
      </c>
    </row>
    <row r="32" customFormat="false" ht="15" hidden="false" customHeight="false" outlineLevel="0" collapsed="false">
      <c r="A32" s="25" t="s">
        <v>263</v>
      </c>
      <c r="B32" s="30" t="n">
        <v>0</v>
      </c>
    </row>
    <row r="33" customFormat="false" ht="15" hidden="false" customHeight="false" outlineLevel="0" collapsed="false">
      <c r="A33" s="25" t="s">
        <v>264</v>
      </c>
      <c r="B33" s="31" t="n">
        <v>0</v>
      </c>
    </row>
    <row r="34" customFormat="false" ht="15" hidden="false" customHeight="false" outlineLevel="0" collapsed="false">
      <c r="A34" s="25" t="s">
        <v>265</v>
      </c>
      <c r="B34" s="31" t="n">
        <v>0</v>
      </c>
    </row>
    <row r="35" customFormat="false" ht="15" hidden="false" customHeight="false" outlineLevel="0" collapsed="false">
      <c r="A35" s="25" t="s">
        <v>266</v>
      </c>
      <c r="B35" s="31" t="n">
        <v>5257</v>
      </c>
    </row>
    <row r="36" customFormat="false" ht="15" hidden="false" customHeight="false" outlineLevel="0" collapsed="false">
      <c r="A36" s="25" t="s">
        <v>267</v>
      </c>
      <c r="B36" s="31" t="n">
        <v>43114</v>
      </c>
    </row>
    <row r="37" customFormat="false" ht="15" hidden="false" customHeight="false" outlineLevel="0" collapsed="false">
      <c r="A37" s="25" t="s">
        <v>268</v>
      </c>
      <c r="B37" s="32" t="n">
        <f aca="false">B32*B33</f>
        <v>0</v>
      </c>
    </row>
    <row r="38" customFormat="false" ht="15" hidden="false" customHeight="false" outlineLevel="0" collapsed="false">
      <c r="A38" s="25" t="s">
        <v>274</v>
      </c>
      <c r="B38" s="27" t="n">
        <f aca="false">B36+B34+B35</f>
        <v>48371</v>
      </c>
    </row>
    <row r="39" customFormat="false" ht="15" hidden="false" customHeight="false" outlineLevel="0" collapsed="false">
      <c r="A39" s="25" t="s">
        <v>271</v>
      </c>
      <c r="B39" s="31" t="n">
        <v>300000</v>
      </c>
    </row>
    <row r="40" customFormat="false" ht="15" hidden="false" customHeight="false" outlineLevel="0" collapsed="false">
      <c r="A40" s="25" t="s">
        <v>272</v>
      </c>
      <c r="B40" s="31" t="n">
        <v>168654</v>
      </c>
    </row>
    <row r="42" customFormat="false" ht="15" hidden="false" customHeight="false" outlineLevel="0" collapsed="false">
      <c r="A42" s="29" t="s">
        <v>275</v>
      </c>
    </row>
    <row r="43" customFormat="false" ht="15" hidden="false" customHeight="false" outlineLevel="0" collapsed="false">
      <c r="A43" s="25" t="s">
        <v>271</v>
      </c>
      <c r="B43" s="31" t="n">
        <v>1000000</v>
      </c>
    </row>
    <row r="44" customFormat="false" ht="15" hidden="false" customHeight="false" outlineLevel="0" collapsed="false">
      <c r="A44" s="25" t="s">
        <v>276</v>
      </c>
      <c r="B44" s="31" t="n">
        <v>1000000</v>
      </c>
    </row>
    <row r="45" customFormat="false" ht="15" hidden="false" customHeight="false" outlineLevel="0" collapsed="false">
      <c r="A45" s="25" t="s">
        <v>277</v>
      </c>
      <c r="B45" s="31" t="n">
        <v>30000</v>
      </c>
    </row>
    <row r="46" customFormat="false" ht="15" hidden="false" customHeight="false" outlineLevel="0" collapsed="false">
      <c r="A46" s="25" t="s">
        <v>278</v>
      </c>
      <c r="B46" s="26" t="n">
        <f aca="false">IF(B44&gt;0,B45/B44,0)</f>
        <v>0.03</v>
      </c>
    </row>
    <row r="47" customFormat="false" ht="15" hidden="false" customHeight="false" outlineLevel="0" collapsed="false">
      <c r="A47" s="25" t="s">
        <v>279</v>
      </c>
      <c r="B47" s="32" t="n">
        <f aca="false">B43-B44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4"/>
    <col collapsed="false" customWidth="true" hidden="false" outlineLevel="0" max="4" min="4" style="0" width="10"/>
  </cols>
  <sheetData>
    <row r="1" customFormat="false" ht="16.15" hidden="false" customHeight="false" outlineLevel="0" collapsed="false">
      <c r="A1" s="15" t="s">
        <v>280</v>
      </c>
    </row>
    <row r="2" customFormat="false" ht="15" hidden="false" customHeight="false" outlineLevel="0" collapsed="false">
      <c r="D2" s="4" t="s">
        <v>165</v>
      </c>
      <c r="E2" s="11" t="n">
        <v>6</v>
      </c>
      <c r="F2" s="4" t="s">
        <v>281</v>
      </c>
      <c r="G2" s="11" t="n">
        <v>2026</v>
      </c>
    </row>
    <row r="4" customFormat="false" ht="15" hidden="false" customHeight="false" outlineLevel="0" collapsed="false">
      <c r="A4" s="4" t="s">
        <v>282</v>
      </c>
      <c r="B4" s="19" t="n">
        <f aca="false">SUMIFS(Transacciones!F:F,Transacciones!B:B,"Ingreso",Transacciones!A:A,"&gt;="&amp;DATE($G$2,$E$2,1),Transacciones!A:A,"&lt;="&amp;EOMONTH(DATE($G$2,$E$2,1),0))</f>
        <v>350000</v>
      </c>
    </row>
    <row r="5" customFormat="false" ht="15" hidden="false" customHeight="false" outlineLevel="0" collapsed="false">
      <c r="A5" s="4" t="s">
        <v>283</v>
      </c>
      <c r="B5" s="19" t="n">
        <f aca="false">SUMIFS(Transacciones!F:F,Transacciones!B:B,"Gasto",Transacciones!A:A,"&gt;="&amp;DATE($G$2,$E$2,1),Transacciones!A:A,"&lt;="&amp;EOMONTH(DATE($G$2,$E$2,1),0))</f>
        <v>64680</v>
      </c>
    </row>
    <row r="6" customFormat="false" ht="15" hidden="false" customHeight="false" outlineLevel="0" collapsed="false">
      <c r="A6" s="4" t="s">
        <v>284</v>
      </c>
      <c r="B6" s="19" t="n">
        <f aca="false">B4-B5</f>
        <v>285320</v>
      </c>
    </row>
    <row r="7" customFormat="false" ht="15" hidden="false" customHeight="false" outlineLevel="0" collapsed="false">
      <c r="A7" s="4" t="s">
        <v>285</v>
      </c>
      <c r="B7" s="33" t="n">
        <f aca="false">IF(B4&gt;0,B6/B4,"-")</f>
        <v>0.8152</v>
      </c>
    </row>
    <row r="8" customFormat="false" ht="15" hidden="false" customHeight="false" outlineLevel="0" collapsed="false">
      <c r="A8" s="4" t="s">
        <v>286</v>
      </c>
      <c r="B8" s="8" t="str">
        <f aca="false">IF(B6&gt;=0,"Te sobran $"&amp;TEXT(B6,"#,##0"),"Negativo por $"&amp;TEXT(-B6,"#,##0"))</f>
        <v>Te sobran $285,320</v>
      </c>
    </row>
    <row r="10" customFormat="false" ht="15" hidden="false" customHeight="false" outlineLevel="0" collapsed="false">
      <c r="A10" s="34" t="s">
        <v>287</v>
      </c>
    </row>
    <row r="11" customFormat="false" ht="15" hidden="false" customHeight="false" outlineLevel="0" collapsed="false">
      <c r="A11" s="34" t="s">
        <v>189</v>
      </c>
      <c r="B11" s="34" t="s">
        <v>288</v>
      </c>
      <c r="C11" s="34" t="s">
        <v>289</v>
      </c>
      <c r="D11" s="34" t="s">
        <v>290</v>
      </c>
    </row>
    <row r="12" customFormat="false" ht="15" hidden="false" customHeight="false" outlineLevel="0" collapsed="false">
      <c r="A12" s="8" t="n">
        <f aca="false">Categorias!A3</f>
        <v>0</v>
      </c>
      <c r="B12" s="19" t="n">
        <f aca="false">Categorias!C3</f>
        <v>0</v>
      </c>
      <c r="C12" s="19" t="n">
        <f aca="false">SUMIFS(Transacciones!F:F,Transacciones!C:C,Categorias!A3,Transacciones!B:B,"Gasto",Transacciones!A:A,"&gt;="&amp;DATE($G$2,$E$2,1),Transacciones!A:A,"&lt;="&amp;EOMONTH(DATE($G$2,$E$2,1),0))</f>
        <v>0</v>
      </c>
      <c r="D12" s="33" t="str">
        <f aca="false">IF(Categorias!C3&gt;0,C12/B12,"-")</f>
        <v>-</v>
      </c>
    </row>
    <row r="13" customFormat="false" ht="15" hidden="false" customHeight="false" outlineLevel="0" collapsed="false">
      <c r="A13" s="8" t="str">
        <f aca="false">Categorias!A4</f>
        <v>Alimentación</v>
      </c>
      <c r="B13" s="19" t="n">
        <f aca="false">Categorias!C4</f>
        <v>250000</v>
      </c>
      <c r="C13" s="19" t="n">
        <f aca="false">SUMIFS(Transacciones!F:F,Transacciones!C:C,Categorias!A4,Transacciones!B:B,"Gasto",Transacciones!A:A,"&gt;="&amp;DATE($G$2,$E$2,1),Transacciones!A:A,"&lt;="&amp;EOMONTH(DATE($G$2,$E$2,1),0))</f>
        <v>38500</v>
      </c>
      <c r="D13" s="33" t="n">
        <f aca="false">IF(Categorias!C4&gt;0,C13/B13,"-")</f>
        <v>0.154</v>
      </c>
    </row>
    <row r="14" customFormat="false" ht="15" hidden="false" customHeight="false" outlineLevel="0" collapsed="false">
      <c r="A14" s="8" t="str">
        <f aca="false">Categorias!A5</f>
        <v>Chanchería</v>
      </c>
      <c r="B14" s="19" t="n">
        <f aca="false">Categorias!C5</f>
        <v>30000</v>
      </c>
      <c r="C14" s="19" t="n">
        <f aca="false">SUMIFS(Transacciones!F:F,Transacciones!C:C,Categorias!A5,Transacciones!B:B,"Gasto",Transacciones!A:A,"&gt;="&amp;DATE($G$2,$E$2,1),Transacciones!A:A,"&lt;="&amp;EOMONTH(DATE($G$2,$E$2,1),0))</f>
        <v>0</v>
      </c>
      <c r="D14" s="33" t="n">
        <f aca="false">IF(Categorias!C5&gt;0,C14/B14,"-")</f>
        <v>0</v>
      </c>
    </row>
    <row r="15" customFormat="false" ht="15" hidden="false" customHeight="false" outlineLevel="0" collapsed="false">
      <c r="A15" s="8" t="str">
        <f aca="false">Categorias!A6</f>
        <v>Transporte</v>
      </c>
      <c r="B15" s="19" t="n">
        <f aca="false">Categorias!C6</f>
        <v>50000</v>
      </c>
      <c r="C15" s="19" t="n">
        <f aca="false">SUMIFS(Transacciones!F:F,Transacciones!C:C,Categorias!A6,Transacciones!B:B,"Gasto",Transacciones!A:A,"&gt;="&amp;DATE($G$2,$E$2,1),Transacciones!A:A,"&lt;="&amp;EOMONTH(DATE($G$2,$E$2,1),0))</f>
        <v>4200</v>
      </c>
      <c r="D15" s="33" t="n">
        <f aca="false">IF(Categorias!C6&gt;0,C15/B15,"-")</f>
        <v>0.084</v>
      </c>
    </row>
    <row r="16" customFormat="false" ht="15" hidden="false" customHeight="false" outlineLevel="0" collapsed="false">
      <c r="A16" s="8" t="str">
        <f aca="false">Categorias!A7</f>
        <v>Salud</v>
      </c>
      <c r="B16" s="19" t="n">
        <f aca="false">Categorias!C7</f>
        <v>20000</v>
      </c>
      <c r="C16" s="19" t="n">
        <f aca="false">SUMIFS(Transacciones!F:F,Transacciones!C:C,Categorias!A7,Transacciones!B:B,"Gasto",Transacciones!A:A,"&gt;="&amp;DATE($G$2,$E$2,1),Transacciones!A:A,"&lt;="&amp;EOMONTH(DATE($G$2,$E$2,1),0))</f>
        <v>12990</v>
      </c>
      <c r="D16" s="33" t="n">
        <f aca="false">IF(Categorias!C7&gt;0,C16/B16,"-")</f>
        <v>0.6495</v>
      </c>
    </row>
    <row r="17" customFormat="false" ht="15" hidden="false" customHeight="false" outlineLevel="0" collapsed="false">
      <c r="A17" s="8" t="str">
        <f aca="false">Categorias!A8</f>
        <v>Hijo</v>
      </c>
      <c r="B17" s="19" t="n">
        <f aca="false">Categorias!C8</f>
        <v>0</v>
      </c>
      <c r="C17" s="19" t="n">
        <f aca="false">SUMIFS(Transacciones!F:F,Transacciones!C:C,Categorias!A8,Transacciones!B:B,"Gasto",Transacciones!A:A,"&gt;="&amp;DATE($G$2,$E$2,1),Transacciones!A:A,"&lt;="&amp;EOMONTH(DATE($G$2,$E$2,1),0))</f>
        <v>0</v>
      </c>
      <c r="D17" s="33" t="str">
        <f aca="false">IF(Categorias!C8&gt;0,C17/B17,"-")</f>
        <v>-</v>
      </c>
    </row>
    <row r="18" customFormat="false" ht="15" hidden="false" customHeight="false" outlineLevel="0" collapsed="false">
      <c r="A18" s="8" t="str">
        <f aca="false">Categorias!A9</f>
        <v>Entretenimiento</v>
      </c>
      <c r="B18" s="19" t="n">
        <f aca="false">Categorias!C9</f>
        <v>40000</v>
      </c>
      <c r="C18" s="19" t="n">
        <f aca="false">SUMIFS(Transacciones!F:F,Transacciones!C:C,Categorias!A9,Transacciones!B:B,"Gasto",Transacciones!A:A,"&gt;="&amp;DATE($G$2,$E$2,1),Transacciones!A:A,"&lt;="&amp;EOMONTH(DATE($G$2,$E$2,1),0))</f>
        <v>0</v>
      </c>
      <c r="D18" s="33" t="n">
        <f aca="false">IF(Categorias!C9&gt;0,C18/B18,"-")</f>
        <v>0</v>
      </c>
    </row>
    <row r="19" customFormat="false" ht="15" hidden="false" customHeight="false" outlineLevel="0" collapsed="false">
      <c r="A19" s="8" t="str">
        <f aca="false">Categorias!A10</f>
        <v>Suscripciones</v>
      </c>
      <c r="B19" s="19" t="n">
        <f aca="false">Categorias!C10</f>
        <v>0</v>
      </c>
      <c r="C19" s="19" t="n">
        <f aca="false">SUMIFS(Transacciones!F:F,Transacciones!C:C,Categorias!A10,Transacciones!B:B,"Gasto",Transacciones!A:A,"&gt;="&amp;DATE($G$2,$E$2,1),Transacciones!A:A,"&lt;="&amp;EOMONTH(DATE($G$2,$E$2,1),0))</f>
        <v>8990</v>
      </c>
      <c r="D19" s="33" t="str">
        <f aca="false">IF(Categorias!C10&gt;0,C19/B19,"-")</f>
        <v>-</v>
      </c>
    </row>
    <row r="20" customFormat="false" ht="15" hidden="false" customHeight="false" outlineLevel="0" collapsed="false">
      <c r="A20" s="8" t="str">
        <f aca="false">Categorias!A11</f>
        <v>Ropa</v>
      </c>
      <c r="B20" s="19" t="n">
        <f aca="false">Categorias!C11</f>
        <v>0</v>
      </c>
      <c r="C20" s="19" t="n">
        <f aca="false">SUMIFS(Transacciones!F:F,Transacciones!C:C,Categorias!A11,Transacciones!B:B,"Gasto",Transacciones!A:A,"&gt;="&amp;DATE($G$2,$E$2,1),Transacciones!A:A,"&lt;="&amp;EOMONTH(DATE($G$2,$E$2,1),0))</f>
        <v>0</v>
      </c>
      <c r="D20" s="33" t="str">
        <f aca="false">IF(Categorias!C11&gt;0,C20/B20,"-")</f>
        <v>-</v>
      </c>
    </row>
    <row r="21" customFormat="false" ht="15" hidden="false" customHeight="false" outlineLevel="0" collapsed="false">
      <c r="A21" s="8" t="str">
        <f aca="false">Categorias!A12</f>
        <v>Hogar</v>
      </c>
      <c r="B21" s="19" t="n">
        <f aca="false">Categorias!C12</f>
        <v>80000</v>
      </c>
      <c r="C21" s="19" t="n">
        <f aca="false">SUMIFS(Transacciones!F:F,Transacciones!C:C,Categorias!A12,Transacciones!B:B,"Gasto",Transacciones!A:A,"&gt;="&amp;DATE($G$2,$E$2,1),Transacciones!A:A,"&lt;="&amp;EOMONTH(DATE($G$2,$E$2,1),0))</f>
        <v>0</v>
      </c>
      <c r="D21" s="33" t="n">
        <f aca="false">IF(Categorias!C12&gt;0,C21/B21,"-")</f>
        <v>0</v>
      </c>
    </row>
    <row r="22" customFormat="false" ht="15" hidden="false" customHeight="false" outlineLevel="0" collapsed="false">
      <c r="A22" s="8" t="str">
        <f aca="false">Categorias!A13</f>
        <v>GGCC</v>
      </c>
      <c r="B22" s="19" t="n">
        <f aca="false">Categorias!C13</f>
        <v>120000</v>
      </c>
      <c r="C22" s="19" t="n">
        <f aca="false">SUMIFS(Transacciones!F:F,Transacciones!C:C,Categorias!A13,Transacciones!B:B,"Gasto",Transacciones!A:A,"&gt;="&amp;DATE($G$2,$E$2,1),Transacciones!A:A,"&lt;="&amp;EOMONTH(DATE($G$2,$E$2,1),0))</f>
        <v>0</v>
      </c>
      <c r="D22" s="33" t="n">
        <f aca="false">IF(Categorias!C13&gt;0,C22/B22,"-")</f>
        <v>0</v>
      </c>
    </row>
    <row r="23" customFormat="false" ht="15" hidden="false" customHeight="false" outlineLevel="0" collapsed="false">
      <c r="A23" s="8" t="str">
        <f aca="false">Categorias!A14</f>
        <v>Educación</v>
      </c>
      <c r="B23" s="19" t="n">
        <f aca="false">Categorias!C14</f>
        <v>0</v>
      </c>
      <c r="C23" s="19" t="n">
        <f aca="false">SUMIFS(Transacciones!F:F,Transacciones!C:C,Categorias!A14,Transacciones!B:B,"Gasto",Transacciones!A:A,"&gt;="&amp;DATE($G$2,$E$2,1),Transacciones!A:A,"&lt;="&amp;EOMONTH(DATE($G$2,$E$2,1),0))</f>
        <v>0</v>
      </c>
      <c r="D23" s="33" t="str">
        <f aca="false">IF(Categorias!C14&gt;0,C23/B23,"-")</f>
        <v>-</v>
      </c>
    </row>
    <row r="24" customFormat="false" ht="15" hidden="false" customHeight="false" outlineLevel="0" collapsed="false">
      <c r="A24" s="8" t="str">
        <f aca="false">Categorias!A15</f>
        <v>Tecnología</v>
      </c>
      <c r="B24" s="19" t="n">
        <f aca="false">Categorias!C15</f>
        <v>28000</v>
      </c>
      <c r="C24" s="19" t="n">
        <f aca="false">SUMIFS(Transacciones!F:F,Transacciones!C:C,Categorias!A15,Transacciones!B:B,"Gasto",Transacciones!A:A,"&gt;="&amp;DATE($G$2,$E$2,1),Transacciones!A:A,"&lt;="&amp;EOMONTH(DATE($G$2,$E$2,1),0))</f>
        <v>0</v>
      </c>
      <c r="D24" s="33" t="n">
        <f aca="false">IF(Categorias!C15&gt;0,C24/B24,"-")</f>
        <v>0</v>
      </c>
    </row>
    <row r="25" customFormat="false" ht="15" hidden="false" customHeight="false" outlineLevel="0" collapsed="false">
      <c r="A25" s="8" t="str">
        <f aca="false">Categorias!A16</f>
        <v>Tarjeta Crédito</v>
      </c>
      <c r="B25" s="19" t="n">
        <f aca="false">Categorias!C16</f>
        <v>0</v>
      </c>
      <c r="C25" s="19" t="n">
        <f aca="false">SUMIFS(Transacciones!F:F,Transacciones!C:C,Categorias!A16,Transacciones!B:B,"Gasto",Transacciones!A:A,"&gt;="&amp;DATE($G$2,$E$2,1),Transacciones!A:A,"&lt;="&amp;EOMONTH(DATE($G$2,$E$2,1),0))</f>
        <v>0</v>
      </c>
      <c r="D25" s="33" t="str">
        <f aca="false">IF(Categorias!C16&gt;0,C25/B25,"-")</f>
        <v>-</v>
      </c>
    </row>
    <row r="26" customFormat="false" ht="15" hidden="false" customHeight="false" outlineLevel="0" collapsed="false">
      <c r="A26" s="8" t="str">
        <f aca="false">Categorias!A17</f>
        <v>Otro Gasto</v>
      </c>
      <c r="B26" s="19" t="n">
        <f aca="false">Categorias!C17</f>
        <v>0</v>
      </c>
      <c r="C26" s="19" t="n">
        <f aca="false">SUMIFS(Transacciones!F:F,Transacciones!C:C,Categorias!A17,Transacciones!B:B,"Gasto",Transacciones!A:A,"&gt;="&amp;DATE($G$2,$E$2,1),Transacciones!A:A,"&lt;="&amp;EOMONTH(DATE($G$2,$E$2,1),0))</f>
        <v>0</v>
      </c>
      <c r="D26" s="33" t="str">
        <f aca="false">IF(Categorias!C17&gt;0,C26/B26,"-")</f>
        <v>-</v>
      </c>
    </row>
    <row r="27" customFormat="false" ht="15" hidden="false" customHeight="false" outlineLevel="0" collapsed="false">
      <c r="A27" s="8" t="str">
        <f aca="false">Categorias!A18</f>
        <v>Freelance</v>
      </c>
      <c r="B27" s="19" t="n">
        <f aca="false">Categorias!C18</f>
        <v>0</v>
      </c>
      <c r="C27" s="19" t="n">
        <f aca="false">SUMIFS(Transacciones!F:F,Transacciones!C:C,Categorias!A18,Transacciones!B:B,"Gasto",Transacciones!A:A,"&gt;="&amp;DATE($G$2,$E$2,1),Transacciones!A:A,"&lt;="&amp;EOMONTH(DATE($G$2,$E$2,1),0))</f>
        <v>0</v>
      </c>
      <c r="D27" s="33" t="str">
        <f aca="false">IF(Categorias!C18&gt;0,C27/B27,"-")</f>
        <v>-</v>
      </c>
    </row>
    <row r="28" customFormat="false" ht="15" hidden="false" customHeight="false" outlineLevel="0" collapsed="false">
      <c r="A28" s="8" t="str">
        <f aca="false">Categorias!A19</f>
        <v>Ayuda Familiar</v>
      </c>
      <c r="B28" s="19" t="n">
        <f aca="false">Categorias!C19</f>
        <v>0</v>
      </c>
      <c r="C28" s="19" t="n">
        <f aca="false">SUMIFS(Transacciones!F:F,Transacciones!C:C,Categorias!A19,Transacciones!B:B,"Gasto",Transacciones!A:A,"&gt;="&amp;DATE($G$2,$E$2,1),Transacciones!A:A,"&lt;="&amp;EOMONTH(DATE($G$2,$E$2,1),0))</f>
        <v>0</v>
      </c>
      <c r="D28" s="33" t="str">
        <f aca="false">IF(Categorias!C19&gt;0,C28/B28,"-")</f>
        <v>-</v>
      </c>
    </row>
    <row r="29" customFormat="false" ht="15" hidden="false" customHeight="false" outlineLevel="0" collapsed="false">
      <c r="A29" s="8" t="str">
        <f aca="false">Categorias!A20</f>
        <v>Uber Eats</v>
      </c>
      <c r="B29" s="19" t="n">
        <f aca="false">Categorias!C20</f>
        <v>0</v>
      </c>
      <c r="C29" s="19" t="n">
        <f aca="false">SUMIFS(Transacciones!F:F,Transacciones!C:C,Categorias!A20,Transacciones!B:B,"Gasto",Transacciones!A:A,"&gt;="&amp;DATE($G$2,$E$2,1),Transacciones!A:A,"&lt;="&amp;EOMONTH(DATE($G$2,$E$2,1),0))</f>
        <v>0</v>
      </c>
      <c r="D29" s="33" t="str">
        <f aca="false">IF(Categorias!C20&gt;0,C29/B29,"-")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4"/>
    <col collapsed="false" customWidth="true" hidden="false" outlineLevel="0" max="4" min="4" style="0" width="12"/>
  </cols>
  <sheetData>
    <row r="1" customFormat="false" ht="16.15" hidden="false" customHeight="false" outlineLevel="0" collapsed="false">
      <c r="A1" s="15" t="s">
        <v>291</v>
      </c>
    </row>
    <row r="2" customFormat="false" ht="15" hidden="false" customHeight="false" outlineLevel="0" collapsed="false">
      <c r="A2" s="34" t="s">
        <v>292</v>
      </c>
      <c r="B2" s="34" t="s">
        <v>165</v>
      </c>
      <c r="C2" s="34" t="s">
        <v>293</v>
      </c>
      <c r="D2" s="34" t="s">
        <v>294</v>
      </c>
    </row>
    <row r="3" customFormat="false" ht="15" hidden="false" customHeight="false" outlineLevel="0" collapsed="false">
      <c r="A3" s="4" t="s">
        <v>295</v>
      </c>
      <c r="B3" s="19" t="n">
        <f aca="false">SUMIFS(Transacciones!F:F,Transacciones!B:B,"Ingreso",Transacciones!A:A,"&gt;="&amp;DATE(Dashboard!$G$2,Dashboard!$E$2,1),Transacciones!A:A,"&lt;="&amp;EOMONTH(DATE(Dashboard!$G$2,Dashboard!$E$2,1),0))</f>
        <v>350000</v>
      </c>
      <c r="C3" s="19" t="n">
        <f aca="false">SUMIFS(Transacciones!F:F,Transacciones!B:B,"Ingreso",Transacciones!A:A,"&gt;="&amp;EOMONTH(DATE(Dashboard!$G$2,Dashboard!$E$2,1),-2)+1,Transacciones!A:A,"&lt;="&amp;EOMONTH(DATE(Dashboard!$G$2,Dashboard!$E$2,1),-1))</f>
        <v>0</v>
      </c>
      <c r="D3" s="33" t="str">
        <f aca="false">IF(C3&gt;0,(B3-C3)/C3,"-")</f>
        <v>-</v>
      </c>
    </row>
    <row r="4" customFormat="false" ht="15" hidden="false" customHeight="false" outlineLevel="0" collapsed="false">
      <c r="A4" s="4" t="s">
        <v>296</v>
      </c>
      <c r="B4" s="19" t="n">
        <f aca="false">SUMIFS(Transacciones!F:F,Transacciones!B:B,"Gasto",Transacciones!A:A,"&gt;="&amp;DATE(Dashboard!$G$2,Dashboard!$E$2,1),Transacciones!A:A,"&lt;="&amp;EOMONTH(DATE(Dashboard!$G$2,Dashboard!$E$2,1),0))</f>
        <v>64680</v>
      </c>
      <c r="C4" s="19" t="n">
        <f aca="false">SUMIFS(Transacciones!F:F,Transacciones!B:B,"Gasto",Transacciones!A:A,"&gt;="&amp;EOMONTH(DATE(Dashboard!$G$2,Dashboard!$E$2,1),-2)+1,Transacciones!A:A,"&lt;="&amp;EOMONTH(DATE(Dashboard!$G$2,Dashboard!$E$2,1),-1))</f>
        <v>0</v>
      </c>
      <c r="D4" s="33" t="str">
        <f aca="false">IF(C4&gt;0,(B4-C4)/C4,"-")</f>
        <v>-</v>
      </c>
    </row>
    <row r="5" customFormat="false" ht="15" hidden="false" customHeight="false" outlineLevel="0" collapsed="false">
      <c r="A5" s="4" t="s">
        <v>284</v>
      </c>
      <c r="B5" s="19" t="n">
        <f aca="false">B3-B4</f>
        <v>285320</v>
      </c>
      <c r="C5" s="19" t="n">
        <f aca="false">C3-C4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2026-06-19T16:39:01Z</dcterms:created>
  <dc:creator>openpyxl</dc:creator>
  <dc:description/>
  <dc:language>en-US</dc:language>
  <cp:lastModifiedBy/>
  <dcterms:modified xsi:type="dcterms:W3CDTF">2026-06-19T16:39:01Z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